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05c687b78047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4ddcf949bb214ecb"/>
    <x:sheet xmlns:r="http://schemas.openxmlformats.org/officeDocument/2006/relationships" name="Stock" sheetId="2" r:id="Rd4c962bc86914099"/>
    <x:sheet xmlns:r="http://schemas.openxmlformats.org/officeDocument/2006/relationships" name="Interest rates" sheetId="3" r:id="R74606cb7ac7a4109"/>
    <x:sheet xmlns:r="http://schemas.openxmlformats.org/officeDocument/2006/relationships" name="Actual service" sheetId="4" r:id="Rbfcfbb143116401f"/>
    <x:sheet xmlns:r="http://schemas.openxmlformats.org/officeDocument/2006/relationships" name="Forecast service" sheetId="5" r:id="R2191c8c5894640d0"/>
    <x:sheet xmlns:r="http://schemas.openxmlformats.org/officeDocument/2006/relationships" name="2019-2022 controls" sheetId="6" r:id="R28b4c492002845f5"/>
    <x:sheet xmlns:r="http://schemas.openxmlformats.org/officeDocument/2006/relationships" name="Sources" sheetId="7" r:id="Reffd7b71285c49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"/>
    <x:numFmt numFmtId="201" formatCode="#,##0.0"/>
    <x:numFmt numFmtId="202" formatCode="yyyy-mm-dd"/>
    <x:numFmt numFmtId="203" formatCode="0.00%"/>
    <x:numFmt numFmtId="204" formatCode="0.00&quot;%&quot;"/>
    <x:numFmt numFmtId="205" formatCode="0.000000"/>
    <x:numFmt numFmtId="206" formatCode="@"/>
  </x:numFmts>
  <x:fonts count="6">
    <x:font>
      <x:sz val="11"/>
      <x:name val="Carlito"/>
    </x:font>
    <x:font>
      <x:sz val="10"/>
      <x:color rgb="FF55503F"/>
      <x:name val="Aptos"/>
    </x:font>
    <x:font>
      <x:b/>
      <x:sz val="18"/>
      <x:color rgb="FFFDFAF3"/>
      <x:name val="Georgia"/>
    </x:font>
    <x:font>
      <x:b/>
      <x:sz val="10"/>
      <x:color rgb="FF1E1B16"/>
      <x:name val="Aptos"/>
    </x:font>
    <x:font>
      <x:sz val="9"/>
      <x:color rgb="FF55503F"/>
      <x:name val="Aptos"/>
    </x:font>
    <x:font>
      <x:b/>
      <x:sz val="9"/>
      <x:color rgb="FFFDFAF3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F7F2E9"/>
      </x:patternFill>
    </x:fill>
    <x:fill>
      <x:patternFill patternType="solid">
        <x:fgColor rgb="FF1E1B16"/>
      </x:patternFill>
    </x:fill>
    <x:fill>
      <x:patternFill patternType="solid">
        <x:fgColor rgb="FFF1EADC"/>
      </x:patternFill>
    </x:fill>
    <x:fill>
      <x:patternFill patternType="solid">
        <x:fgColor rgb="FF263849"/>
      </x:patternFill>
    </x:fill>
    <x:fill>
      <x:patternFill patternType="solid">
        <x:fgColor rgb="FFB3402A"/>
      </x:patternFill>
    </x:fill>
  </x:fills>
  <x:borders count="5">
    <x:border/>
    <x:border>
      <x:bottom style="medium">
        <x:color rgb="FFB3402A"/>
      </x:bottom>
    </x:border>
    <x:border>
      <x:bottom style="thin">
        <x:color rgb="FFD9CFBE"/>
      </x:bottom>
    </x:border>
    <x:border>
      <x:top style="thin">
        <x:color rgb="FFD9CFBE"/>
      </x:top>
      <x:bottom style="thin">
        <x:color rgb="FFD9CFBE"/>
      </x:bottom>
    </x:border>
    <x:border>
      <x:top style="thin">
        <x:color rgb="FFD9CFBE"/>
      </x:top>
    </x:border>
  </x:borders>
  <x:cellStyleXfs count="1">
    <x:xf numFmtId="0" fontId="0" fillId="0" borderId="0"/>
  </x:cellStyleXfs>
  <x:cellXfs count="8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/>
    </x:xf>
    <x:xf numFmtId="0" fontId="3" fillId="4" borderId="2" xfId="0" applyNumberFormat="1" applyFont="1" applyFill="1" applyBorder="1" applyAlignment="1">
      <x:alignment vertical="top"/>
    </x:xf>
    <x:xf numFmtId="0" fontId="3" fillId="4" borderId="3" xfId="0" applyNumberFormat="1" applyFont="1" applyFill="1" applyBorder="1" applyAlignment="1">
      <x:alignment vertical="top"/>
    </x:xf>
    <x:xf numFmtId="0" fontId="3" fillId="4" borderId="4" xfId="0" applyNumberFormat="1" applyFont="1" applyFill="1" applyBorder="1" applyAlignment="1">
      <x:alignment vertical="top"/>
    </x:xf>
    <x:xf numFmtId="0" fontId="1" fillId="2" borderId="2" xfId="0" applyNumberFormat="1" applyFont="1" applyFill="1" applyBorder="1" applyAlignment="1">
      <x:alignment vertical="top"/>
    </x:xf>
    <x:xf numFmtId="0" fontId="1" fillId="2" borderId="3" xfId="0" applyNumberFormat="1" applyFont="1" applyFill="1" applyBorder="1" applyAlignment="1">
      <x:alignment vertical="top"/>
    </x:xf>
    <x:xf numFmtId="0" fontId="1" fillId="2" borderId="4" xfId="0" applyNumberFormat="1" applyFont="1" applyFill="1" applyBorder="1" applyAlignment="1">
      <x:alignment vertical="top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top"/>
    </x:xf>
    <x:xf numFmtId="0" fontId="4" fillId="5" borderId="0" xfId="0" applyNumberFormat="1" applyFont="1" applyFill="1" applyBorder="1" applyAlignment="1">
      <x:alignment vertical="top"/>
    </x:xf>
    <x:xf numFmtId="0" fontId="5" fillId="5" borderId="0" xfId="0" applyNumberFormat="1" applyFont="1" applyFill="1" applyBorder="1" applyAlignment="1">
      <x:alignment vertical="top"/>
    </x:xf>
    <x:xf numFmtId="0" fontId="5" fillId="5" borderId="1" xfId="0" applyNumberFormat="1" applyFont="1" applyFill="1" applyBorder="1" applyAlignment="1">
      <x:alignment vertical="top"/>
    </x:xf>
    <x:xf numFmtId="0" fontId="5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top"/>
    </x:xf>
    <x:xf numFmtId="0" fontId="4" fillId="2" borderId="3" xfId="0" applyNumberFormat="1" applyFont="1" applyFill="1" applyBorder="1" applyAlignment="1">
      <x:alignment vertical="top"/>
    </x:xf>
    <x:xf numFmtId="0" fontId="4" fillId="2" borderId="4" xfId="0" applyNumberFormat="1" applyFont="1" applyFill="1" applyBorder="1" applyAlignment="1">
      <x:alignment vertical="top"/>
    </x:xf>
    <x:xf numFmtId="0" fontId="5" fillId="5" borderId="1" xfId="0" applyNumberFormat="1" applyFont="1" applyFill="1" applyBorder="1" applyAlignment="1">
      <x:alignment horizontal="right" vertical="center" wrapText="1"/>
    </x:xf>
    <x:xf numFmtId="0" fontId="4" fillId="2" borderId="2" xfId="0" applyNumberFormat="1" applyFont="1" applyFill="1" applyBorder="1" applyAlignment="1">
      <x:alignment horizontal="right" vertical="top"/>
    </x:xf>
    <x:xf numFmtId="0" fontId="4" fillId="2" borderId="3" xfId="0" applyNumberFormat="1" applyFont="1" applyFill="1" applyBorder="1" applyAlignment="1">
      <x:alignment horizontal="right" vertical="top"/>
    </x:xf>
    <x:xf numFmtId="0" fontId="4" fillId="2" borderId="4" xfId="0" applyNumberFormat="1" applyFont="1" applyFill="1" applyBorder="1" applyAlignment="1">
      <x:alignment horizontal="right" vertical="top"/>
    </x:xf>
    <x:xf numFmtId="200" fontId="4" fillId="2" borderId="2" xfId="0" applyNumberFormat="1" applyFont="1" applyFill="1" applyBorder="1" applyAlignment="1">
      <x:alignment horizontal="right" vertical="top"/>
    </x:xf>
    <x:xf numFmtId="200" fontId="4" fillId="2" borderId="3" xfId="0" applyNumberFormat="1" applyFont="1" applyFill="1" applyBorder="1" applyAlignment="1">
      <x:alignment horizontal="right" vertical="top"/>
    </x:xf>
    <x:xf numFmtId="200" fontId="4" fillId="2" borderId="4" xfId="0" applyNumberFormat="1" applyFont="1" applyFill="1" applyBorder="1" applyAlignment="1">
      <x:alignment horizontal="right" vertical="top"/>
    </x:xf>
    <x:xf numFmtId="0" fontId="5" fillId="5" borderId="1" xfId="0" applyNumberFormat="1" applyFont="1" applyFill="1" applyBorder="1" applyAlignment="1">
      <x:alignment horizontal="left" vertical="center" wrapText="1"/>
    </x:xf>
    <x:xf numFmtId="0" fontId="4" fillId="2" borderId="2" xfId="0" applyNumberFormat="1" applyFont="1" applyFill="1" applyBorder="1" applyAlignment="1">
      <x:alignment horizontal="left" vertical="top"/>
    </x:xf>
    <x:xf numFmtId="0" fontId="4" fillId="2" borderId="3" xfId="0" applyNumberFormat="1" applyFont="1" applyFill="1" applyBorder="1" applyAlignment="1">
      <x:alignment horizontal="left" vertical="top"/>
    </x:xf>
    <x:xf numFmtId="0" fontId="4" fillId="2" borderId="4" xfId="0" applyNumberFormat="1" applyFont="1" applyFill="1" applyBorder="1" applyAlignment="1">
      <x:alignment horizontal="left" vertical="top"/>
    </x:xf>
    <x:xf numFmtId="201" fontId="4" fillId="2" borderId="2" xfId="0" applyNumberFormat="1" applyFont="1" applyFill="1" applyBorder="1" applyAlignment="1">
      <x:alignment horizontal="right" vertical="top"/>
    </x:xf>
    <x:xf numFmtId="201" fontId="4" fillId="2" borderId="3" xfId="0" applyNumberFormat="1" applyFont="1" applyFill="1" applyBorder="1" applyAlignment="1">
      <x:alignment horizontal="right" vertical="top"/>
    </x:xf>
    <x:xf numFmtId="201" fontId="4" fillId="2" borderId="4" xfId="0" applyNumberFormat="1" applyFont="1" applyFill="1" applyBorder="1" applyAlignment="1">
      <x:alignment horizontal="right" vertical="top"/>
    </x:xf>
    <x:xf numFmtId="202" fontId="4" fillId="2" borderId="2" xfId="0" applyNumberFormat="1" applyFont="1" applyFill="1" applyBorder="1" applyAlignment="1">
      <x:alignment horizontal="right" vertical="top"/>
    </x:xf>
    <x:xf numFmtId="202" fontId="4" fillId="2" borderId="3" xfId="0" applyNumberFormat="1" applyFont="1" applyFill="1" applyBorder="1" applyAlignment="1">
      <x:alignment horizontal="right" vertical="top"/>
    </x:xf>
    <x:xf numFmtId="202" fontId="4" fillId="2" borderId="4" xfId="0" applyNumberFormat="1" applyFont="1" applyFill="1" applyBorder="1" applyAlignment="1">
      <x:alignment horizontal="right" vertical="top"/>
    </x:xf>
    <x:xf numFmtId="0" fontId="4" fillId="2" borderId="2" xfId="0" applyNumberFormat="1" applyFont="1" applyFill="1" applyBorder="1" applyAlignment="1">
      <x:alignment vertical="top" wrapText="1"/>
    </x:xf>
    <x:xf numFmtId="0" fontId="4" fillId="2" borderId="3" xfId="0" applyNumberFormat="1" applyFont="1" applyFill="1" applyBorder="1" applyAlignment="1">
      <x:alignment vertical="top" wrapText="1"/>
    </x:xf>
    <x:xf numFmtId="0" fontId="4" fillId="2" borderId="4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horizontal="left" vertical="top" wrapText="1"/>
    </x:xf>
    <x:xf numFmtId="0" fontId="4" fillId="2" borderId="3" xfId="0" applyNumberFormat="1" applyFont="1" applyFill="1" applyBorder="1" applyAlignment="1">
      <x:alignment horizontal="left" vertical="top" wrapText="1"/>
    </x:xf>
    <x:xf numFmtId="0" fontId="4" fillId="2" borderId="4" xfId="0" applyNumberFormat="1" applyFont="1" applyFill="1" applyBorder="1" applyAlignment="1">
      <x:alignment horizontal="left" vertical="top" wrapText="1"/>
    </x:xf>
    <x:xf numFmtId="203" fontId="4" fillId="2" borderId="2" xfId="0" applyNumberFormat="1" applyFont="1" applyFill="1" applyBorder="1" applyAlignment="1">
      <x:alignment horizontal="right" vertical="top"/>
    </x:xf>
    <x:xf numFmtId="203" fontId="4" fillId="2" borderId="3" xfId="0" applyNumberFormat="1" applyFont="1" applyFill="1" applyBorder="1" applyAlignment="1">
      <x:alignment horizontal="right" vertical="top"/>
    </x:xf>
    <x:xf numFmtId="203" fontId="4" fillId="2" borderId="4" xfId="0" applyNumberFormat="1" applyFont="1" applyFill="1" applyBorder="1" applyAlignment="1">
      <x:alignment horizontal="right" vertical="top"/>
    </x:xf>
    <x:xf numFmtId="204" fontId="4" fillId="2" borderId="2" xfId="0" applyNumberFormat="1" applyFont="1" applyFill="1" applyBorder="1" applyAlignment="1">
      <x:alignment horizontal="right" vertical="top"/>
    </x:xf>
    <x:xf numFmtId="204" fontId="4" fillId="2" borderId="3" xfId="0" applyNumberFormat="1" applyFont="1" applyFill="1" applyBorder="1" applyAlignment="1">
      <x:alignment horizontal="right" vertical="top"/>
    </x:xf>
    <x:xf numFmtId="204" fontId="4" fillId="2" borderId="4" xfId="0" applyNumberFormat="1" applyFont="1" applyFill="1" applyBorder="1" applyAlignment="1">
      <x:alignment horizontal="right" vertical="top"/>
    </x:xf>
    <x:xf numFmtId="205" fontId="4" fillId="2" borderId="2" xfId="0" applyNumberFormat="1" applyFont="1" applyFill="1" applyBorder="1" applyAlignment="1">
      <x:alignment horizontal="right" vertical="top"/>
    </x:xf>
    <x:xf numFmtId="205" fontId="4" fillId="2" borderId="3" xfId="0" applyNumberFormat="1" applyFont="1" applyFill="1" applyBorder="1" applyAlignment="1">
      <x:alignment horizontal="right" vertical="top"/>
    </x:xf>
    <x:xf numFmtId="205" fontId="4" fillId="2" borderId="4" xfId="0" applyNumberFormat="1" applyFont="1" applyFill="1" applyBorder="1" applyAlignment="1">
      <x:alignment horizontal="right" vertical="top"/>
    </x:xf>
    <x:xf numFmtId="206" fontId="0" fillId="0" borderId="0" xfId="0" applyNumberFormat="1" applyFont="1" applyFill="1" applyBorder="1"/>
    <x:xf numFmtId="206" fontId="0" fillId="2" borderId="0" xfId="0" applyNumberFormat="1" applyFont="1" applyFill="1" applyBorder="1"/>
    <x:xf numFmtId="206" fontId="4" fillId="2" borderId="0" xfId="0" applyNumberFormat="1" applyFont="1" applyFill="1" applyBorder="1"/>
    <x:xf numFmtId="206" fontId="4" fillId="2" borderId="0" xfId="0" applyNumberFormat="1" applyFont="1" applyFill="1" applyBorder="1" applyAlignment="1">
      <x:alignment vertical="top"/>
    </x:xf>
    <x:xf numFmtId="206" fontId="4" fillId="2" borderId="2" xfId="0" applyNumberFormat="1" applyFont="1" applyFill="1" applyBorder="1" applyAlignment="1">
      <x:alignment vertical="top"/>
    </x:xf>
    <x:xf numFmtId="206" fontId="4" fillId="2" borderId="3" xfId="0" applyNumberFormat="1" applyFont="1" applyFill="1" applyBorder="1" applyAlignment="1">
      <x:alignment vertical="top"/>
    </x:xf>
    <x:xf numFmtId="206" fontId="4" fillId="2" borderId="4" xfId="0" applyNumberFormat="1" applyFont="1" applyFill="1" applyBorder="1" applyAlignment="1">
      <x:alignment vertical="top"/>
    </x:xf>
    <x:xf numFmtId="206" fontId="4" fillId="2" borderId="2" xfId="0" applyNumberFormat="1" applyFont="1" applyFill="1" applyBorder="1" applyAlignment="1">
      <x:alignment horizontal="left" vertical="top"/>
    </x:xf>
    <x:xf numFmtId="206" fontId="4" fillId="2" borderId="3" xfId="0" applyNumberFormat="1" applyFont="1" applyFill="1" applyBorder="1" applyAlignment="1">
      <x:alignment horizontal="left" vertical="top"/>
    </x:xf>
    <x:xf numFmtId="206" fontId="4" fillId="2" borderId="4" xfId="0" applyNumberFormat="1" applyFont="1" applyFill="1" applyBorder="1" applyAlignment="1">
      <x:alignment horizontal="left" vertical="top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/>
    <x:xf numFmtId="0" fontId="4" fillId="2" borderId="4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4" fillId="2" borderId="4" xfId="0" applyNumberFormat="1" applyFont="1" applyFill="1" applyBorder="1" applyAlignment="1">
      <x:alignment wrapText="1"/>
    </x:xf>
    <x:xf numFmtId="206" fontId="4" fillId="2" borderId="2" xfId="0" applyNumberFormat="1" applyFont="1" applyFill="1" applyBorder="1" applyAlignment="1">
      <x:alignment horizontal="left" vertical="top" wrapText="1"/>
    </x:xf>
    <x:xf numFmtId="202" fontId="4" fillId="2" borderId="2" xfId="0" applyNumberFormat="1" applyFont="1" applyFill="1" applyBorder="1" applyAlignment="1">
      <x:alignment horizontal="right" vertical="top" wrapText="1"/>
    </x:xf>
    <x:xf numFmtId="206" fontId="4" fillId="2" borderId="3" xfId="0" applyNumberFormat="1" applyFont="1" applyFill="1" applyBorder="1" applyAlignment="1">
      <x:alignment horizontal="left" vertical="top" wrapText="1"/>
    </x:xf>
    <x:xf numFmtId="202" fontId="4" fillId="2" borderId="3" xfId="0" applyNumberFormat="1" applyFont="1" applyFill="1" applyBorder="1" applyAlignment="1">
      <x:alignment horizontal="right" vertical="top" wrapText="1"/>
    </x:xf>
    <x:xf numFmtId="206" fontId="4" fillId="2" borderId="4" xfId="0" applyNumberFormat="1" applyFont="1" applyFill="1" applyBorder="1" applyAlignment="1">
      <x:alignment horizontal="left" vertical="top" wrapText="1"/>
    </x:xf>
    <x:xf numFmtId="202" fontId="4" fillId="2" borderId="4" xfId="0" applyNumberFormat="1" applyFont="1" applyFill="1" applyBorder="1" applyAlignment="1">
      <x:alignment horizontal="right" vertical="top" wrapText="1"/>
    </x:xf>
    <x:xf numFmtId="202" fontId="4" fillId="2" borderId="2" xfId="0" applyNumberFormat="1" applyFont="1" applyFill="1" applyBorder="1" applyAlignment="1">
      <x:alignment vertical="top" wrapText="1"/>
    </x:xf>
    <x:xf numFmtId="202" fontId="4" fillId="2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9726cc97f14601" /><Relationship Type="http://schemas.openxmlformats.org/officeDocument/2006/relationships/theme" Target="/xl/theme/theme1.xml" Id="R87cca62b15ee4624" /><Relationship Type="http://schemas.openxmlformats.org/officeDocument/2006/relationships/sharedStrings" Target="/xl/sharedStrings.xml" Id="R828c008bdf474442" /><Relationship Type="http://schemas.openxmlformats.org/officeDocument/2006/relationships/worksheet" Target="/xl/worksheets/sheet1.xml" Id="R4ddcf949bb214ecb" /><Relationship Type="http://schemas.openxmlformats.org/officeDocument/2006/relationships/worksheet" Target="/xl/worksheets/sheet2.xml" Id="Rd4c962bc86914099" /><Relationship Type="http://schemas.openxmlformats.org/officeDocument/2006/relationships/worksheet" Target="/xl/worksheets/sheet3.xml" Id="R74606cb7ac7a4109" /><Relationship Type="http://schemas.openxmlformats.org/officeDocument/2006/relationships/worksheet" Target="/xl/worksheets/sheet4.xml" Id="Rbfcfbb143116401f" /><Relationship Type="http://schemas.openxmlformats.org/officeDocument/2006/relationships/worksheet" Target="/xl/worksheets/sheet5.xml" Id="R2191c8c5894640d0" /><Relationship Type="http://schemas.openxmlformats.org/officeDocument/2006/relationships/worksheet" Target="/xl/worksheets/sheet6.xml" Id="R28b4c492002845f5" /><Relationship Type="http://schemas.openxmlformats.org/officeDocument/2006/relationships/worksheet" Target="/xl/worksheets/sheet7.xml" Id="Reffd7b71285c49bb" /></Relationships>
</file>

<file path=xl/tables/table1.xml><?xml version="1.0" encoding="utf-8"?>
<x:table xmlns:x="http://schemas.openxmlformats.org/spreadsheetml/2006/main" id="1" name="DebtStockTable" displayName="DebtStockTable" ref="A1:O40" headerRowCount="1" totalsRowCount="0" totalsRowShown="0">
  <x:autoFilter ref="A1:O40"/>
  <x:tableColumns count="15">
    <x:tableColumn id="1" name="year"/>
    <x:tableColumn id="2" name="debt_scope"/>
    <x:tableColumn id="3" name="amount_million_gel"/>
    <x:tableColumn id="4" name="amount_gel"/>
    <x:tableColumn id="5" name="observation_date"/>
    <x:tableColumn id="6" name="status"/>
    <x:tableColumn id="7" name="source_id"/>
    <x:tableColumn id="8" name="source_table"/>
    <x:tableColumn id="9" name="source_row_label"/>
    <x:tableColumn id="10" name="source_unit"/>
    <x:tableColumn id="11" name="transformation"/>
    <x:tableColumn id="12" name="methodology_note_id"/>
    <x:tableColumn id="13" name="last_reviewed_at"/>
    <x:tableColumn id="14" name="GDP denominator (million GEL)"/>
    <x:tableColumn id="15" name="Debt/GDP (%)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DebtInterestRatesTable" displayName="DebtInterestRatesTable" ref="A1:M34" headerRowCount="1" totalsRowCount="0" totalsRowShown="0">
  <x:autoFilter ref="A1:M34"/>
  <x:tableColumns count="13">
    <x:tableColumn id="1" name="year"/>
    <x:tableColumn id="2" name="debt_scope"/>
    <x:tableColumn id="3" name="weighted_average_interest_rate_percent"/>
    <x:tableColumn id="4" name="observation_date"/>
    <x:tableColumn id="5" name="portfolio_scope"/>
    <x:tableColumn id="6" name="rate_definition"/>
    <x:tableColumn id="7" name="availability_status"/>
    <x:tableColumn id="8" name="source_id"/>
    <x:tableColumn id="9" name="source_table"/>
    <x:tableColumn id="10" name="source_row_label"/>
    <x:tableColumn id="11" name="source_unit"/>
    <x:tableColumn id="12" name="transformation"/>
    <x:tableColumn id="13" name="last_reviewed_at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DebtActualServiceTable" displayName="DebtActualServiceTable" ref="A1:N40" headerRowCount="1" totalsRowCount="0" totalsRowShown="0">
  <x:autoFilter ref="A1:N40"/>
  <x:tableColumns count="14">
    <x:tableColumn id="1" name="year"/>
    <x:tableColumn id="2" name="debt_scope"/>
    <x:tableColumn id="3" name="principal_paid_million_gel"/>
    <x:tableColumn id="4" name="interest_paid_million_gel"/>
    <x:tableColumn id="5" name="principal_paid_gel"/>
    <x:tableColumn id="6" name="interest_paid_gel"/>
    <x:tableColumn id="7" name="status"/>
    <x:tableColumn id="8" name="source_id"/>
    <x:tableColumn id="9" name="source_table"/>
    <x:tableColumn id="10" name="source_row_label"/>
    <x:tableColumn id="11" name="source_unit"/>
    <x:tableColumn id="12" name="transformation"/>
    <x:tableColumn id="13" name="methodology_note_id"/>
    <x:tableColumn id="14" name="last_reviewed_at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DebtForecastServiceTable" displayName="DebtForecastServiceTable" ref="A1:S16" headerRowCount="1" totalsRowCount="0" totalsRowShown="0">
  <x:autoFilter ref="A1:S16"/>
  <x:tableColumns count="19">
    <x:tableColumn id="1" name="snapshot_date"/>
    <x:tableColumn id="2" name="payment_year"/>
    <x:tableColumn id="3" name="debt_scope"/>
    <x:tableColumn id="4" name="principal_source_amount"/>
    <x:tableColumn id="5" name="interest_source_amount"/>
    <x:tableColumn id="6" name="source_currency"/>
    <x:tableColumn id="7" name="published_exchange_rate"/>
    <x:tableColumn id="8" name="published_exchange_rate_definition"/>
    <x:tableColumn id="9" name="source_exchange_rate_to_gel"/>
    <x:tableColumn id="10" name="principal_million_gel"/>
    <x:tableColumn id="11" name="interest_million_gel"/>
    <x:tableColumn id="12" name="total_service_million_gel"/>
    <x:tableColumn id="13" name="status"/>
    <x:tableColumn id="14" name="coverage_note"/>
    <x:tableColumn id="15" name="source_id"/>
    <x:tableColumn id="16" name="source_table"/>
    <x:tableColumn id="17" name="source_row_label"/>
    <x:tableColumn id="18" name="transformation"/>
    <x:tableColumn id="19" name="last_reviewed_at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DebtControlsTable" displayName="DebtControlsTable" ref="A1:E7" headerRowCount="1" totalsRowCount="0" totalsRowShown="0">
  <x:autoFilter ref="A1:E7"/>
  <x:tableColumns count="5">
    <x:tableColumn id="1" name="year"/>
    <x:tableColumn id="2" name="debt_scope"/>
    <x:tableColumn id="3" name="canonical_government_debt_million_gel"/>
    <x:tableColumn id="4" name="control_value_million_gel"/>
    <x:tableColumn id="5" name="control_cell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DebtSourcesTable" displayName="DebtSourcesTable" ref="A1:P11" headerRowCount="1" totalsRowCount="0" totalsRowShown="0">
  <x:autoFilter ref="A1:P11"/>
  <x:tableColumns count="16">
    <x:tableColumn id="1" name="source_id"/>
    <x:tableColumn id="2" name="dataset_title"/>
    <x:tableColumn id="3" name="publisher"/>
    <x:tableColumn id="4" name="roles"/>
    <x:tableColumn id="5" name="document_date"/>
    <x:tableColumn id="6" name="source_page_url"/>
    <x:tableColumn id="7" name="retrieved_file_url"/>
    <x:tableColumn id="8" name="retrieved_at"/>
    <x:tableColumn id="9" name="local_file"/>
    <x:tableColumn id="10" name="sha256"/>
    <x:tableColumn id="11" name="bytes"/>
    <x:tableColumn id="12" name="source_period_min"/>
    <x:tableColumn id="13" name="source_period_max"/>
    <x:tableColumn id="14" name="used_period_min"/>
    <x:tableColumn id="15" name="used_period_max"/>
    <x:tableColumn id="16" name="notes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7" name="DebtMethodologyNotesTable" displayName="DebtMethodologyNotesTable" ref="A14:G16" headerRowCount="1" totalsRowCount="0" totalsRowShown="0">
  <x:autoFilter ref="A14:G16"/>
  <x:tableColumns count="7">
    <x:tableColumn id="1" name="methodology_note_id"/>
    <x:tableColumn id="2" name="effective_date"/>
    <x:tableColumn id="3" name="affected_dataset"/>
    <x:tableColumn id="4" name="affected_scope"/>
    <x:tableColumn id="5" name="note_ka"/>
    <x:tableColumn id="6" name="note_en"/>
    <x:tableColumn id="7" name="source_id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5b8659788746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7860cd4b7249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5fec86f57a44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c4ee26d88eb49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d1d0da6f78f4be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ed66c3a07054c73" /><Relationship Type="http://schemas.openxmlformats.org/officeDocument/2006/relationships/table" Target="/xl/tables/table7.xml" Id="R4edc2d1e1ebe4c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6" hidden="0" customWidth="1"/>
  </x:cols>
  <x:sheetData>
    <x:row r="1" ht="34" customHeight="1">
      <x:c r="A1" s="7" t="str">
        <x:v>Government Debt annual review package</x:v>
      </x:c>
      <x:c r="B1" s="7"/>
    </x:row>
    <x:row r="2">
      <x:c r="A2" s="3"/>
      <x:c r="B2" s="3"/>
    </x:row>
    <x:row r="3" ht="42" customHeight="1">
      <x:c r="A3" s="10" t="str">
        <x:v>Purpose</x:v>
      </x:c>
      <x:c r="B3" s="16" t="str">
        <x:v>Internal source and data review; not the future public Fiscal.ge download.</x:v>
      </x:c>
    </x:row>
    <x:row r="4" ht="42" customHeight="1">
      <x:c r="A4" s="11" t="str">
        <x:v>Scope</x:v>
      </x:c>
      <x:c r="B4" s="17" t="str">
        <x:v>Government Debt only. Broader Public Debt items are excluded from normalized datasets.</x:v>
      </x:c>
    </x:row>
    <x:row r="5" ht="42" customHeight="1">
      <x:c r="A5" s="11" t="str">
        <x:v>Stock</x:v>
      </x:c>
      <x:c r="B5" s="17" t="str">
        <x:v>Annual year-end total, domestic and external Government Debt, 2013-2025.</x:v>
      </x:c>
    </x:row>
    <x:row r="6" ht="42" customHeight="1">
      <x:c r="A6" s="11" t="str">
        <x:v>Actual service</x:v>
      </x:c>
      <x:c r="B6" s="17" t="str">
        <x:v>Annual principal and interest paid, total/domestic/external, 2013-2025.</x:v>
      </x:c>
    </x:row>
    <x:row r="7" ht="42" customHeight="1">
      <x:c r="A7" s="11" t="str">
        <x:v>Interest rates</x:v>
      </x:c>
      <x:c r="B7" s="17" t="str">
        <x:v>Weighted-average rates, 2015-2025; 22 published values and 11 explicit gaps; no estimates.</x:v>
      </x:c>
    </x:row>
    <x:row r="8" ht="42" customHeight="1">
      <x:c r="A8" s="11" t="str">
        <x:v>Forecast service</x:v>
      </x:c>
      <x:c r="B8" s="17" t="str">
        <x:v>Existing-portfolio payment schedule for 2026-2030; snapshot 2025-12-31.</x:v>
      </x:c>
    </x:row>
    <x:row r="9" ht="42" customHeight="1">
      <x:c r="A9" s="11" t="str">
        <x:v>GDP review</x:v>
      </x:c>
      <x:c r="B9" s="17" t="str">
        <x:v>GDP is read from the existing Fiscal.ge GDP CSV. Stock column O calculates amount / same-year GDP; normalized debt CSVs do not duplicate GDP.</x:v>
      </x:c>
    </x:row>
    <x:row r="10" ht="42" customHeight="1">
      <x:c r="A10" s="11" t="str">
        <x:v>2019 change</x:v>
      </x:c>
      <x:c r="B10" s="17" t="str">
        <x:v>From 2019, domestic Government Debt additionally includes loan debt owed by budgetary organizations.</x:v>
      </x:c>
    </x:row>
    <x:row r="11" ht="42" customHeight="1">
      <x:c r="A11" s="11" t="str">
        <x:v>2022 change</x:v>
      </x:c>
      <x:c r="B11" s="17" t="str">
        <x:v>From December 2022, domestic Government Debt also includes loan debt of state-owned enterprises classified in general government.</x:v>
      </x:c>
    </x:row>
    <x:row r="12" ht="42" customHeight="1">
      <x:c r="A12" s="11" t="str">
        <x:v>Control workbook</x:v>
      </x:c>
      <x:c r="B12" s="17" t="str">
        <x:v>The 2019/2022 central-government-liabilities workbook is a one-time cross-check. Equality is not expected because its scope differs from canonical Government Debt.</x:v>
      </x:c>
    </x:row>
    <x:row r="13" ht="42" customHeight="1">
      <x:c r="A13" s="11" t="str">
        <x:v>Validation</x:v>
      </x:c>
      <x:c r="B13" s="17" t="str">
        <x:v>complete_with_documented_rate_gaps; source hashes match; normalized totals reconcile; zero estimates created.</x:v>
      </x:c>
    </x:row>
    <x:row r="14" ht="42" customHeight="1">
      <x:c r="A14" s="12" t="str">
        <x:v>Review date</x:v>
      </x:c>
      <x:c r="B14" s="18" t="str">
        <x:v>2026-09-01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20" hidden="0" customWidth="1"/>
    <x:col min="5" max="5" width="14" hidden="0" customWidth="1"/>
    <x:col min="6" max="6" width="18" hidden="0" customWidth="1"/>
    <x:col min="7" max="7" width="34" hidden="0" customWidth="1"/>
    <x:col min="8" max="8" width="36" hidden="0" customWidth="1"/>
    <x:col min="9" max="9" width="36" hidden="0" customWidth="1"/>
    <x:col min="10" max="10" width="18" hidden="0" customWidth="1"/>
    <x:col min="11" max="11" width="58" hidden="0" customWidth="1"/>
    <x:col min="12" max="12" width="34" hidden="0" customWidth="1"/>
    <x:col min="13" max="13" width="14" hidden="0" customWidth="1"/>
    <x:col min="14" max="14" width="20" hidden="0" customWidth="1"/>
    <x:col min="15" max="15" width="16" hidden="0" customWidth="1"/>
  </x:cols>
  <x:sheetData>
    <x:row r="1" ht="48" customHeight="1">
      <x:c r="A1" s="29" t="str">
        <x:v>year</x:v>
      </x:c>
      <x:c r="B1" s="36" t="str">
        <x:v>debt_scope</x:v>
      </x:c>
      <x:c r="C1" s="29" t="str">
        <x:v>amount_million_gel</x:v>
      </x:c>
      <x:c r="D1" s="29" t="str">
        <x:v>amount_gel</x:v>
      </x:c>
      <x:c r="E1" s="29" t="str">
        <x:v>observation_date</x:v>
      </x:c>
      <x:c r="F1" s="36" t="str">
        <x:v>status</x:v>
      </x:c>
      <x:c r="G1" s="36" t="str">
        <x:v>source_id</x:v>
      </x:c>
      <x:c r="H1" s="36" t="str">
        <x:v>source_table</x:v>
      </x:c>
      <x:c r="I1" s="36" t="str">
        <x:v>source_row_label</x:v>
      </x:c>
      <x:c r="J1" s="36" t="str">
        <x:v>source_unit</x:v>
      </x:c>
      <x:c r="K1" s="36" t="str">
        <x:v>transformation</x:v>
      </x:c>
      <x:c r="L1" s="36" t="str">
        <x:v>methodology_note_id</x:v>
      </x:c>
      <x:c r="M1" s="29" t="str">
        <x:v>last_reviewed_at</x:v>
      </x:c>
      <x:c r="N1" s="29" t="str">
        <x:v>GDP denominator (million GEL)</x:v>
      </x:c>
      <x:c r="O1" s="29" t="str">
        <x:v>Debt/GDP (%)</x:v>
      </x:c>
    </x:row>
    <x:row r="2" ht="34" customHeight="1">
      <x:c r="A2" s="33" t="n">
        <x:v>2013</x:v>
      </x:c>
      <x:c r="B2" s="37" t="str">
        <x:v>total</x:v>
      </x:c>
      <x:c r="C2" s="40" t="n">
        <x:v>8433</x:v>
      </x:c>
      <x:c r="D2" s="33" t="n">
        <x:v>8433000000</x:v>
      </x:c>
      <x:c r="E2" s="43" t="n">
        <x:v>41639</x:v>
      </x:c>
      <x:c r="F2" s="37" t="str">
        <x:v>actual</x:v>
      </x:c>
      <x:c r="G2" s="37" t="str">
        <x:v>mof_public_debt_bulletin_n13</x:v>
      </x:c>
      <x:c r="H2" s="37" t="str">
        <x:v>16. PUBLIC DEBT STOCK</x:v>
      </x:c>
      <x:c r="I2" s="37" t="str">
        <x:v>External Government Debt + Domestic Government Debt</x:v>
      </x:c>
      <x:c r="J2" s="37" t="str">
        <x:v>Million GEL</x:v>
      </x:c>
      <x:c r="K2" s="49" t="str">
        <x:v>Exact sum of the published Domestic Government Debt and External Government Debt GEL components; the rounded published total is retained only as a validation control.</x:v>
      </x:c>
      <x:c r="L2" s="37"/>
      <x:c r="M2" s="43" t="n">
        <x:v>46266</x:v>
      </x:c>
      <x:c r="N2" s="40" t="n">
        <x:v>29137.7</x:v>
      </x:c>
      <x:c r="O2" s="52" t="n">
        <x:f>IFERROR(C2/N2,"")</x:f>
        <x:v>0.2894188628477882</x:v>
      </x:c>
    </x:row>
    <x:row r="3" ht="34" customHeight="1">
      <x:c r="A3" s="34" t="n">
        <x:v>2013</x:v>
      </x:c>
      <x:c r="B3" s="38" t="str">
        <x:v>domestic</x:v>
      </x:c>
      <x:c r="C3" s="41" t="n">
        <x:v>1337.8</x:v>
      </x:c>
      <x:c r="D3" s="34" t="n">
        <x:v>1337800000</x:v>
      </x:c>
      <x:c r="E3" s="44" t="n">
        <x:v>41639</x:v>
      </x:c>
      <x:c r="F3" s="38" t="str">
        <x:v>actual</x:v>
      </x:c>
      <x:c r="G3" s="38" t="str">
        <x:v>mof_public_debt_bulletin_n13</x:v>
      </x:c>
      <x:c r="H3" s="38" t="str">
        <x:v>16. PUBLIC DEBT STOCK</x:v>
      </x:c>
      <x:c r="I3" s="38" t="str">
        <x:v>Domestic Government Debt</x:v>
      </x:c>
      <x:c r="J3" s="38" t="str">
        <x:v>Million GEL</x:v>
      </x:c>
      <x:c r="K3" s="50" t="str">
        <x:v>Published year-end GEL component selected from the approved Government Debt stock row; no estimate.</x:v>
      </x:c>
      <x:c r="L3" s="38"/>
      <x:c r="M3" s="44" t="n">
        <x:v>46266</x:v>
      </x:c>
      <x:c r="N3" s="41" t="n">
        <x:v>29137.7</x:v>
      </x:c>
      <x:c r="O3" s="53" t="n">
        <x:f>IFERROR(C3/N3,"")</x:f>
        <x:v>0.04591302676601104</x:v>
      </x:c>
    </x:row>
    <x:row r="4" ht="34" customHeight="1">
      <x:c r="A4" s="34" t="n">
        <x:v>2013</x:v>
      </x:c>
      <x:c r="B4" s="38" t="str">
        <x:v>external</x:v>
      </x:c>
      <x:c r="C4" s="41" t="n">
        <x:v>7095.2</x:v>
      </x:c>
      <x:c r="D4" s="34" t="n">
        <x:v>7095200000</x:v>
      </x:c>
      <x:c r="E4" s="44" t="n">
        <x:v>41639</x:v>
      </x:c>
      <x:c r="F4" s="38" t="str">
        <x:v>actual</x:v>
      </x:c>
      <x:c r="G4" s="38" t="str">
        <x:v>mof_public_debt_bulletin_n13</x:v>
      </x:c>
      <x:c r="H4" s="38" t="str">
        <x:v>16. PUBLIC DEBT STOCK</x:v>
      </x:c>
      <x:c r="I4" s="38" t="str">
        <x:v>External Government Debt</x:v>
      </x:c>
      <x:c r="J4" s="38" t="str">
        <x:v>Million GEL</x:v>
      </x:c>
      <x:c r="K4" s="50" t="str">
        <x:v>Published year-end GEL component selected from the approved Government Debt stock row; no estimate.</x:v>
      </x:c>
      <x:c r="L4" s="38"/>
      <x:c r="M4" s="44" t="n">
        <x:v>46266</x:v>
      </x:c>
      <x:c r="N4" s="41" t="n">
        <x:v>29137.7</x:v>
      </x:c>
      <x:c r="O4" s="53" t="n">
        <x:f>IFERROR(C4/N4,"")</x:f>
        <x:v>0.2435058360817772</x:v>
      </x:c>
    </x:row>
    <x:row r="5" ht="34" customHeight="1">
      <x:c r="A5" s="34" t="n">
        <x:v>2014</x:v>
      </x:c>
      <x:c r="B5" s="38" t="str">
        <x:v>total</x:v>
      </x:c>
      <x:c r="C5" s="41" t="n">
        <x:v>9622.9</x:v>
      </x:c>
      <x:c r="D5" s="34" t="n">
        <x:v>9622900000</x:v>
      </x:c>
      <x:c r="E5" s="44" t="n">
        <x:v>42004</x:v>
      </x:c>
      <x:c r="F5" s="38" t="str">
        <x:v>actual</x:v>
      </x:c>
      <x:c r="G5" s="38" t="str">
        <x:v>mof_public_debt_bulletin_n13</x:v>
      </x:c>
      <x:c r="H5" s="38" t="str">
        <x:v>16. PUBLIC DEBT STOCK</x:v>
      </x:c>
      <x:c r="I5" s="38" t="str">
        <x:v>External Government Debt + Domestic Government Debt</x:v>
      </x:c>
      <x:c r="J5" s="38" t="str">
        <x:v>Million GEL</x:v>
      </x:c>
      <x:c r="K5" s="50" t="str">
        <x:v>Exact sum of the published Domestic Government Debt and External Government Debt GEL components; the rounded published total is retained only as a validation control.</x:v>
      </x:c>
      <x:c r="L5" s="38"/>
      <x:c r="M5" s="44" t="n">
        <x:v>46266</x:v>
      </x:c>
      <x:c r="N5" s="41" t="n">
        <x:v>31722.4</x:v>
      </x:c>
      <x:c r="O5" s="53" t="n">
        <x:f>IFERROR(C5/N5,"")</x:f>
        <x:v>0.3033471616271152</x:v>
      </x:c>
    </x:row>
    <x:row r="6" ht="34" customHeight="1">
      <x:c r="A6" s="34" t="n">
        <x:v>2014</x:v>
      </x:c>
      <x:c r="B6" s="38" t="str">
        <x:v>domestic</x:v>
      </x:c>
      <x:c r="C6" s="41" t="n">
        <x:v>1875.6</x:v>
      </x:c>
      <x:c r="D6" s="34" t="n">
        <x:v>1875600000</x:v>
      </x:c>
      <x:c r="E6" s="44" t="n">
        <x:v>42004</x:v>
      </x:c>
      <x:c r="F6" s="38" t="str">
        <x:v>actual</x:v>
      </x:c>
      <x:c r="G6" s="38" t="str">
        <x:v>mof_public_debt_bulletin_n13</x:v>
      </x:c>
      <x:c r="H6" s="38" t="str">
        <x:v>16. PUBLIC DEBT STOCK</x:v>
      </x:c>
      <x:c r="I6" s="38" t="str">
        <x:v>Domestic Government Debt</x:v>
      </x:c>
      <x:c r="J6" s="38" t="str">
        <x:v>Million GEL</x:v>
      </x:c>
      <x:c r="K6" s="50" t="str">
        <x:v>Published year-end GEL component selected from the approved Government Debt stock row; no estimate.</x:v>
      </x:c>
      <x:c r="L6" s="38"/>
      <x:c r="M6" s="44" t="n">
        <x:v>46266</x:v>
      </x:c>
      <x:c r="N6" s="41" t="n">
        <x:v>31722.4</x:v>
      </x:c>
      <x:c r="O6" s="53" t="n">
        <x:f>IFERROR(C6/N6,"")</x:f>
        <x:v>0.05912541295740549</x:v>
      </x:c>
    </x:row>
    <x:row r="7" ht="34" customHeight="1">
      <x:c r="A7" s="34" t="n">
        <x:v>2014</x:v>
      </x:c>
      <x:c r="B7" s="38" t="str">
        <x:v>external</x:v>
      </x:c>
      <x:c r="C7" s="41" t="n">
        <x:v>7747.3</x:v>
      </x:c>
      <x:c r="D7" s="34" t="n">
        <x:v>7747300000</x:v>
      </x:c>
      <x:c r="E7" s="44" t="n">
        <x:v>42004</x:v>
      </x:c>
      <x:c r="F7" s="38" t="str">
        <x:v>actual</x:v>
      </x:c>
      <x:c r="G7" s="38" t="str">
        <x:v>mof_public_debt_bulletin_n13</x:v>
      </x:c>
      <x:c r="H7" s="38" t="str">
        <x:v>16. PUBLIC DEBT STOCK</x:v>
      </x:c>
      <x:c r="I7" s="38" t="str">
        <x:v>External Government Debt</x:v>
      </x:c>
      <x:c r="J7" s="38" t="str">
        <x:v>Million GEL</x:v>
      </x:c>
      <x:c r="K7" s="50" t="str">
        <x:v>Published year-end GEL component selected from the approved Government Debt stock row; no estimate.</x:v>
      </x:c>
      <x:c r="L7" s="38"/>
      <x:c r="M7" s="44" t="n">
        <x:v>46266</x:v>
      </x:c>
      <x:c r="N7" s="41" t="n">
        <x:v>31722.4</x:v>
      </x:c>
      <x:c r="O7" s="53" t="n">
        <x:f>IFERROR(C7/N7,"")</x:f>
        <x:v>0.24422174866970972</x:v>
      </x:c>
    </x:row>
    <x:row r="8" ht="34" customHeight="1">
      <x:c r="A8" s="34" t="n">
        <x:v>2015</x:v>
      </x:c>
      <x:c r="B8" s="38" t="str">
        <x:v>total</x:v>
      </x:c>
      <x:c r="C8" s="41" t="n">
        <x:v>12442.6</x:v>
      </x:c>
      <x:c r="D8" s="34" t="n">
        <x:v>12442600000</x:v>
      </x:c>
      <x:c r="E8" s="44" t="n">
        <x:v>42369</x:v>
      </x:c>
      <x:c r="F8" s="38" t="str">
        <x:v>actual</x:v>
      </x:c>
      <x:c r="G8" s="38" t="str">
        <x:v>mof_public_debt_bulletin_n25</x:v>
      </x:c>
      <x:c r="H8" s="38" t="str">
        <x:v>17. Public Debt Stock</x:v>
      </x:c>
      <x:c r="I8" s="38" t="str">
        <x:v>External Government Debt + Domestic Government Debt</x:v>
      </x:c>
      <x:c r="J8" s="38" t="str">
        <x:v>Million GEL</x:v>
      </x:c>
      <x:c r="K8" s="50" t="str">
        <x:v>Exact sum of the published Domestic Government Debt and External Government Debt GEL components; the rounded published total is retained only as a validation control.</x:v>
      </x:c>
      <x:c r="L8" s="38"/>
      <x:c r="M8" s="44" t="n">
        <x:v>46266</x:v>
      </x:c>
      <x:c r="N8" s="41" t="n">
        <x:v>34548.2</x:v>
      </x:c>
      <x:c r="O8" s="53" t="n">
        <x:f>IFERROR(C8/N8,"")</x:f>
        <x:v>0.3601519037171257</x:v>
      </x:c>
    </x:row>
    <x:row r="9" ht="34" customHeight="1">
      <x:c r="A9" s="34" t="n">
        <x:v>2015</x:v>
      </x:c>
      <x:c r="B9" s="38" t="str">
        <x:v>domestic</x:v>
      </x:c>
      <x:c r="C9" s="41" t="n">
        <x:v>2155.3</x:v>
      </x:c>
      <x:c r="D9" s="34" t="n">
        <x:v>2155300000</x:v>
      </x:c>
      <x:c r="E9" s="44" t="n">
        <x:v>42369</x:v>
      </x:c>
      <x:c r="F9" s="38" t="str">
        <x:v>actual</x:v>
      </x:c>
      <x:c r="G9" s="38" t="str">
        <x:v>mof_public_debt_bulletin_n25</x:v>
      </x:c>
      <x:c r="H9" s="38" t="str">
        <x:v>17. Public Debt Stock</x:v>
      </x:c>
      <x:c r="I9" s="38" t="str">
        <x:v>Domestic Government Debt</x:v>
      </x:c>
      <x:c r="J9" s="38" t="str">
        <x:v>Million GEL</x:v>
      </x:c>
      <x:c r="K9" s="50" t="str">
        <x:v>Published year-end GEL component selected from the approved Government Debt stock row; no estimate.</x:v>
      </x:c>
      <x:c r="L9" s="38"/>
      <x:c r="M9" s="44" t="n">
        <x:v>46266</x:v>
      </x:c>
      <x:c r="N9" s="41" t="n">
        <x:v>34548.2</x:v>
      </x:c>
      <x:c r="O9" s="53" t="n">
        <x:f>IFERROR(C9/N9,"")</x:f>
        <x:v>0.06238530516785246</x:v>
      </x:c>
    </x:row>
    <x:row r="10" ht="34" customHeight="1">
      <x:c r="A10" s="34" t="n">
        <x:v>2015</x:v>
      </x:c>
      <x:c r="B10" s="38" t="str">
        <x:v>external</x:v>
      </x:c>
      <x:c r="C10" s="41" t="n">
        <x:v>10287.3</x:v>
      </x:c>
      <x:c r="D10" s="34" t="n">
        <x:v>10287300000</x:v>
      </x:c>
      <x:c r="E10" s="44" t="n">
        <x:v>42369</x:v>
      </x:c>
      <x:c r="F10" s="38" t="str">
        <x:v>actual</x:v>
      </x:c>
      <x:c r="G10" s="38" t="str">
        <x:v>mof_public_debt_bulletin_n25</x:v>
      </x:c>
      <x:c r="H10" s="38" t="str">
        <x:v>17. Public Debt Stock</x:v>
      </x:c>
      <x:c r="I10" s="38" t="str">
        <x:v>External Government Debt</x:v>
      </x:c>
      <x:c r="J10" s="38" t="str">
        <x:v>Million GEL</x:v>
      </x:c>
      <x:c r="K10" s="50" t="str">
        <x:v>Published year-end GEL component selected from the approved Government Debt stock row; no estimate.</x:v>
      </x:c>
      <x:c r="L10" s="38"/>
      <x:c r="M10" s="44" t="n">
        <x:v>46266</x:v>
      </x:c>
      <x:c r="N10" s="41" t="n">
        <x:v>34548.2</x:v>
      </x:c>
      <x:c r="O10" s="53" t="n">
        <x:f>IFERROR(C10/N10,"")</x:f>
        <x:v>0.2977665985492732</x:v>
      </x:c>
    </x:row>
    <x:row r="11" ht="34" customHeight="1">
      <x:c r="A11" s="34" t="n">
        <x:v>2016</x:v>
      </x:c>
      <x:c r="B11" s="38" t="str">
        <x:v>total</x:v>
      </x:c>
      <x:c r="C11" s="41" t="n">
        <x:v>14436</x:v>
      </x:c>
      <x:c r="D11" s="34" t="n">
        <x:v>14436000000</x:v>
      </x:c>
      <x:c r="E11" s="44" t="n">
        <x:v>42735</x:v>
      </x:c>
      <x:c r="F11" s="38" t="str">
        <x:v>actual</x:v>
      </x:c>
      <x:c r="G11" s="38" t="str">
        <x:v>mof_public_debt_bulletin_n25</x:v>
      </x:c>
      <x:c r="H11" s="38" t="str">
        <x:v>17. Public Debt Stock</x:v>
      </x:c>
      <x:c r="I11" s="38" t="str">
        <x:v>External Government Debt + Domestic Government Debt</x:v>
      </x:c>
      <x:c r="J11" s="38" t="str">
        <x:v>Million GEL</x:v>
      </x:c>
      <x:c r="K11" s="50" t="str">
        <x:v>Exact sum of the published Domestic Government Debt and External Government Debt GEL components; the rounded published total is retained only as a validation control.</x:v>
      </x:c>
      <x:c r="L11" s="38"/>
      <x:c r="M11" s="44" t="n">
        <x:v>46266</x:v>
      </x:c>
      <x:c r="N11" s="41" t="n">
        <x:v>36553.3</x:v>
      </x:c>
      <x:c r="O11" s="53" t="n">
        <x:f>IFERROR(C11/N11,"")</x:f>
        <x:v>0.39493014310609437</x:v>
      </x:c>
    </x:row>
    <x:row r="12" ht="34" customHeight="1">
      <x:c r="A12" s="34" t="n">
        <x:v>2016</x:v>
      </x:c>
      <x:c r="B12" s="38" t="str">
        <x:v>domestic</x:v>
      </x:c>
      <x:c r="C12" s="41" t="n">
        <x:v>2498.7</x:v>
      </x:c>
      <x:c r="D12" s="34" t="n">
        <x:v>2498700000</x:v>
      </x:c>
      <x:c r="E12" s="44" t="n">
        <x:v>42735</x:v>
      </x:c>
      <x:c r="F12" s="38" t="str">
        <x:v>actual</x:v>
      </x:c>
      <x:c r="G12" s="38" t="str">
        <x:v>mof_public_debt_bulletin_n25</x:v>
      </x:c>
      <x:c r="H12" s="38" t="str">
        <x:v>17. Public Debt Stock</x:v>
      </x:c>
      <x:c r="I12" s="38" t="str">
        <x:v>Domestic Government Debt</x:v>
      </x:c>
      <x:c r="J12" s="38" t="str">
        <x:v>Million GEL</x:v>
      </x:c>
      <x:c r="K12" s="50" t="str">
        <x:v>Published year-end GEL component selected from the approved Government Debt stock row; no estimate.</x:v>
      </x:c>
      <x:c r="L12" s="38"/>
      <x:c r="M12" s="44" t="n">
        <x:v>46266</x:v>
      </x:c>
      <x:c r="N12" s="41" t="n">
        <x:v>36553.3</x:v>
      </x:c>
      <x:c r="O12" s="53" t="n">
        <x:f>IFERROR(C12/N12,"")</x:f>
        <x:v>0.06835771325707937</x:v>
      </x:c>
    </x:row>
    <x:row r="13" ht="34" customHeight="1">
      <x:c r="A13" s="34" t="n">
        <x:v>2016</x:v>
      </x:c>
      <x:c r="B13" s="38" t="str">
        <x:v>external</x:v>
      </x:c>
      <x:c r="C13" s="41" t="n">
        <x:v>11937.3</x:v>
      </x:c>
      <x:c r="D13" s="34" t="n">
        <x:v>11937300000</x:v>
      </x:c>
      <x:c r="E13" s="44" t="n">
        <x:v>42735</x:v>
      </x:c>
      <x:c r="F13" s="38" t="str">
        <x:v>actual</x:v>
      </x:c>
      <x:c r="G13" s="38" t="str">
        <x:v>mof_public_debt_bulletin_n25</x:v>
      </x:c>
      <x:c r="H13" s="38" t="str">
        <x:v>17. Public Debt Stock</x:v>
      </x:c>
      <x:c r="I13" s="38" t="str">
        <x:v>External Government Debt</x:v>
      </x:c>
      <x:c r="J13" s="38" t="str">
        <x:v>Million GEL</x:v>
      </x:c>
      <x:c r="K13" s="50" t="str">
        <x:v>Published year-end GEL component selected from the approved Government Debt stock row; no estimate.</x:v>
      </x:c>
      <x:c r="L13" s="38"/>
      <x:c r="M13" s="44" t="n">
        <x:v>46266</x:v>
      </x:c>
      <x:c r="N13" s="41" t="n">
        <x:v>36553.3</x:v>
      </x:c>
      <x:c r="O13" s="53" t="n">
        <x:f>IFERROR(C13/N13,"")</x:f>
        <x:v>0.32657242984901497</x:v>
      </x:c>
    </x:row>
    <x:row r="14" ht="34" customHeight="1">
      <x:c r="A14" s="34" t="n">
        <x:v>2017</x:v>
      </x:c>
      <x:c r="B14" s="38" t="str">
        <x:v>total</x:v>
      </x:c>
      <x:c r="C14" s="41" t="n">
        <x:v>16062.5</x:v>
      </x:c>
      <x:c r="D14" s="34" t="n">
        <x:v>16062500000</x:v>
      </x:c>
      <x:c r="E14" s="44" t="n">
        <x:v>43100</x:v>
      </x:c>
      <x:c r="F14" s="38" t="str">
        <x:v>actual</x:v>
      </x:c>
      <x:c r="G14" s="38" t="str">
        <x:v>mof_public_debt_bulletin_n25</x:v>
      </x:c>
      <x:c r="H14" s="38" t="str">
        <x:v>17. Public Debt Stock</x:v>
      </x:c>
      <x:c r="I14" s="38" t="str">
        <x:v>External Government Debt + Domestic Government Debt</x:v>
      </x:c>
      <x:c r="J14" s="38" t="str">
        <x:v>Million GEL</x:v>
      </x:c>
      <x:c r="K14" s="50" t="str">
        <x:v>Exact sum of the published Domestic Government Debt and External Government Debt GEL components; the rounded published total is retained only as a validation control.</x:v>
      </x:c>
      <x:c r="L14" s="38"/>
      <x:c r="M14" s="44" t="n">
        <x:v>46266</x:v>
      </x:c>
      <x:c r="N14" s="41" t="n">
        <x:v>41339.8</x:v>
      </x:c>
      <x:c r="O14" s="53" t="n">
        <x:f>IFERROR(C14/N14,"")</x:f>
        <x:v>0.38854808199362356</x:v>
      </x:c>
    </x:row>
    <x:row r="15" ht="34" customHeight="1">
      <x:c r="A15" s="34" t="n">
        <x:v>2017</x:v>
      </x:c>
      <x:c r="B15" s="38" t="str">
        <x:v>domestic</x:v>
      </x:c>
      <x:c r="C15" s="41" t="n">
        <x:v>2863.1</x:v>
      </x:c>
      <x:c r="D15" s="34" t="n">
        <x:v>2863100000</x:v>
      </x:c>
      <x:c r="E15" s="44" t="n">
        <x:v>43100</x:v>
      </x:c>
      <x:c r="F15" s="38" t="str">
        <x:v>actual</x:v>
      </x:c>
      <x:c r="G15" s="38" t="str">
        <x:v>mof_public_debt_bulletin_n25</x:v>
      </x:c>
      <x:c r="H15" s="38" t="str">
        <x:v>17. Public Debt Stock</x:v>
      </x:c>
      <x:c r="I15" s="38" t="str">
        <x:v>Domestic Government Debt</x:v>
      </x:c>
      <x:c r="J15" s="38" t="str">
        <x:v>Million GEL</x:v>
      </x:c>
      <x:c r="K15" s="50" t="str">
        <x:v>Published year-end GEL component selected from the approved Government Debt stock row; no estimate.</x:v>
      </x:c>
      <x:c r="L15" s="38"/>
      <x:c r="M15" s="44" t="n">
        <x:v>46266</x:v>
      </x:c>
      <x:c r="N15" s="41" t="n">
        <x:v>41339.8</x:v>
      </x:c>
      <x:c r="O15" s="53" t="n">
        <x:f>IFERROR(C15/N15,"")</x:f>
        <x:v>0.06925771290620661</x:v>
      </x:c>
    </x:row>
    <x:row r="16" ht="34" customHeight="1">
      <x:c r="A16" s="34" t="n">
        <x:v>2017</x:v>
      </x:c>
      <x:c r="B16" s="38" t="str">
        <x:v>external</x:v>
      </x:c>
      <x:c r="C16" s="41" t="n">
        <x:v>13199.4</x:v>
      </x:c>
      <x:c r="D16" s="34" t="n">
        <x:v>13199400000</x:v>
      </x:c>
      <x:c r="E16" s="44" t="n">
        <x:v>43100</x:v>
      </x:c>
      <x:c r="F16" s="38" t="str">
        <x:v>actual</x:v>
      </x:c>
      <x:c r="G16" s="38" t="str">
        <x:v>mof_public_debt_bulletin_n25</x:v>
      </x:c>
      <x:c r="H16" s="38" t="str">
        <x:v>17. Public Debt Stock</x:v>
      </x:c>
      <x:c r="I16" s="38" t="str">
        <x:v>External Government Debt</x:v>
      </x:c>
      <x:c r="J16" s="38" t="str">
        <x:v>Million GEL</x:v>
      </x:c>
      <x:c r="K16" s="50" t="str">
        <x:v>Published year-end GEL component selected from the approved Government Debt stock row; no estimate.</x:v>
      </x:c>
      <x:c r="L16" s="38"/>
      <x:c r="M16" s="44" t="n">
        <x:v>46266</x:v>
      </x:c>
      <x:c r="N16" s="41" t="n">
        <x:v>41339.8</x:v>
      </x:c>
      <x:c r="O16" s="53" t="n">
        <x:f>IFERROR(C16/N16,"")</x:f>
        <x:v>0.3192903690874169</x:v>
      </x:c>
    </x:row>
    <x:row r="17" ht="34" customHeight="1">
      <x:c r="A17" s="34" t="n">
        <x:v>2018</x:v>
      </x:c>
      <x:c r="B17" s="38" t="str">
        <x:v>total</x:v>
      </x:c>
      <x:c r="C17" s="41" t="n">
        <x:v>17348.7</x:v>
      </x:c>
      <x:c r="D17" s="34" t="n">
        <x:v>17348700000</x:v>
      </x:c>
      <x:c r="E17" s="44" t="n">
        <x:v>43465</x:v>
      </x:c>
      <x:c r="F17" s="38" t="str">
        <x:v>actual</x:v>
      </x:c>
      <x:c r="G17" s="38" t="str">
        <x:v>mof_public_debt_bulletin_n25</x:v>
      </x:c>
      <x:c r="H17" s="38" t="str">
        <x:v>17. Public Debt Stock</x:v>
      </x:c>
      <x:c r="I17" s="38" t="str">
        <x:v>External Government Debt + Domestic Government Debt</x:v>
      </x:c>
      <x:c r="J17" s="38" t="str">
        <x:v>Million GEL</x:v>
      </x:c>
      <x:c r="K17" s="50" t="str">
        <x:v>Exact sum of the published Domestic Government Debt and External Government Debt GEL components; the rounded published total is retained only as a validation control.</x:v>
      </x:c>
      <x:c r="L17" s="38"/>
      <x:c r="M17" s="44" t="n">
        <x:v>46266</x:v>
      </x:c>
      <x:c r="N17" s="41" t="n">
        <x:v>45374.4</x:v>
      </x:c>
      <x:c r="O17" s="53" t="n">
        <x:f>IFERROR(C17/N17,"")</x:f>
        <x:v>0.3823455516767164</x:v>
      </x:c>
    </x:row>
    <x:row r="18" ht="34" customHeight="1">
      <x:c r="A18" s="34" t="n">
        <x:v>2018</x:v>
      </x:c>
      <x:c r="B18" s="38" t="str">
        <x:v>domestic</x:v>
      </x:c>
      <x:c r="C18" s="41" t="n">
        <x:v>3250.5</x:v>
      </x:c>
      <x:c r="D18" s="34" t="n">
        <x:v>3250500000</x:v>
      </x:c>
      <x:c r="E18" s="44" t="n">
        <x:v>43465</x:v>
      </x:c>
      <x:c r="F18" s="38" t="str">
        <x:v>actual</x:v>
      </x:c>
      <x:c r="G18" s="38" t="str">
        <x:v>mof_public_debt_bulletin_n25</x:v>
      </x:c>
      <x:c r="H18" s="38" t="str">
        <x:v>17. Public Debt Stock</x:v>
      </x:c>
      <x:c r="I18" s="38" t="str">
        <x:v>Domestic Government Debt</x:v>
      </x:c>
      <x:c r="J18" s="38" t="str">
        <x:v>Million GEL</x:v>
      </x:c>
      <x:c r="K18" s="50" t="str">
        <x:v>Published year-end GEL component selected from the approved Government Debt stock row; no estimate.</x:v>
      </x:c>
      <x:c r="L18" s="38"/>
      <x:c r="M18" s="44" t="n">
        <x:v>46266</x:v>
      </x:c>
      <x:c r="N18" s="41" t="n">
        <x:v>45374.4</x:v>
      </x:c>
      <x:c r="O18" s="53" t="n">
        <x:f>IFERROR(C18/N18,"")</x:f>
        <x:v>0.07163731090659049</x:v>
      </x:c>
    </x:row>
    <x:row r="19" ht="34" customHeight="1">
      <x:c r="A19" s="34" t="n">
        <x:v>2018</x:v>
      </x:c>
      <x:c r="B19" s="38" t="str">
        <x:v>external</x:v>
      </x:c>
      <x:c r="C19" s="41" t="n">
        <x:v>14098.2</x:v>
      </x:c>
      <x:c r="D19" s="34" t="n">
        <x:v>14098200000</x:v>
      </x:c>
      <x:c r="E19" s="44" t="n">
        <x:v>43465</x:v>
      </x:c>
      <x:c r="F19" s="38" t="str">
        <x:v>actual</x:v>
      </x:c>
      <x:c r="G19" s="38" t="str">
        <x:v>mof_public_debt_bulletin_n25</x:v>
      </x:c>
      <x:c r="H19" s="38" t="str">
        <x:v>17. Public Debt Stock</x:v>
      </x:c>
      <x:c r="I19" s="38" t="str">
        <x:v>External Government Debt</x:v>
      </x:c>
      <x:c r="J19" s="38" t="str">
        <x:v>Million GEL</x:v>
      </x:c>
      <x:c r="K19" s="50" t="str">
        <x:v>Published year-end GEL component selected from the approved Government Debt stock row; no estimate.</x:v>
      </x:c>
      <x:c r="L19" s="38"/>
      <x:c r="M19" s="44" t="n">
        <x:v>46266</x:v>
      </x:c>
      <x:c r="N19" s="41" t="n">
        <x:v>45374.4</x:v>
      </x:c>
      <x:c r="O19" s="53" t="n">
        <x:f>IFERROR(C19/N19,"")</x:f>
        <x:v>0.3107082407701259</x:v>
      </x:c>
    </x:row>
    <x:row r="20" ht="34" customHeight="1">
      <x:c r="A20" s="34" t="n">
        <x:v>2019</x:v>
      </x:c>
      <x:c r="B20" s="38" t="str">
        <x:v>total</x:v>
      </x:c>
      <x:c r="C20" s="41" t="n">
        <x:v>19915.7</x:v>
      </x:c>
      <x:c r="D20" s="34" t="n">
        <x:v>19915700000</x:v>
      </x:c>
      <x:c r="E20" s="44" t="n">
        <x:v>43830</x:v>
      </x:c>
      <x:c r="F20" s="38" t="str">
        <x:v>actual</x:v>
      </x:c>
      <x:c r="G20" s="38" t="str">
        <x:v>mof_public_debt_bulletin_n25</x:v>
      </x:c>
      <x:c r="H20" s="38" t="str">
        <x:v>17. Public Debt Stock</x:v>
      </x:c>
      <x:c r="I20" s="38" t="str">
        <x:v>External Government Debt + Domestic Government Debt</x:v>
      </x:c>
      <x:c r="J20" s="38" t="str">
        <x:v>Million GEL</x:v>
      </x:c>
      <x:c r="K20" s="50" t="str">
        <x:v>Exact sum of the published Domestic Government Debt and External Government Debt GEL components; the rounded published total is retained only as a validation control.</x:v>
      </x:c>
      <x:c r="L20" s="38" t="str">
        <x:v>government-domestic-2019-budget-organizations</x:v>
      </x:c>
      <x:c r="M20" s="44" t="n">
        <x:v>46266</x:v>
      </x:c>
      <x:c r="N20" s="41" t="n">
        <x:v>49726.3</x:v>
      </x:c>
      <x:c r="O20" s="53" t="n">
        <x:f>IFERROR(C20/N20,"")</x:f>
        <x:v>0.4005063718796693</x:v>
      </x:c>
    </x:row>
    <x:row r="21" ht="34" customHeight="1">
      <x:c r="A21" s="34" t="n">
        <x:v>2019</x:v>
      </x:c>
      <x:c r="B21" s="38" t="str">
        <x:v>domestic</x:v>
      </x:c>
      <x:c r="C21" s="41" t="n">
        <x:v>4166</x:v>
      </x:c>
      <x:c r="D21" s="34" t="n">
        <x:v>4166000000</x:v>
      </x:c>
      <x:c r="E21" s="44" t="n">
        <x:v>43830</x:v>
      </x:c>
      <x:c r="F21" s="38" t="str">
        <x:v>actual</x:v>
      </x:c>
      <x:c r="G21" s="38" t="str">
        <x:v>mof_public_debt_bulletin_n25</x:v>
      </x:c>
      <x:c r="H21" s="38" t="str">
        <x:v>17. Public Debt Stock</x:v>
      </x:c>
      <x:c r="I21" s="38" t="str">
        <x:v>Domestic Government Debt</x:v>
      </x:c>
      <x:c r="J21" s="38" t="str">
        <x:v>Million GEL</x:v>
      </x:c>
      <x:c r="K21" s="50" t="str">
        <x:v>Published year-end GEL component selected from the approved Government Debt stock row; no estimate.</x:v>
      </x:c>
      <x:c r="L21" s="38" t="str">
        <x:v>government-domestic-2019-budget-organizations</x:v>
      </x:c>
      <x:c r="M21" s="44" t="n">
        <x:v>46266</x:v>
      </x:c>
      <x:c r="N21" s="41" t="n">
        <x:v>49726.3</x:v>
      </x:c>
      <x:c r="O21" s="53" t="n">
        <x:f>IFERROR(C21/N21,"")</x:f>
        <x:v>0.08377860407872695</x:v>
      </x:c>
    </x:row>
    <x:row r="22" ht="34" customHeight="1">
      <x:c r="A22" s="34" t="n">
        <x:v>2019</x:v>
      </x:c>
      <x:c r="B22" s="38" t="str">
        <x:v>external</x:v>
      </x:c>
      <x:c r="C22" s="41" t="n">
        <x:v>15749.7</x:v>
      </x:c>
      <x:c r="D22" s="34" t="n">
        <x:v>15749700000</x:v>
      </x:c>
      <x:c r="E22" s="44" t="n">
        <x:v>43830</x:v>
      </x:c>
      <x:c r="F22" s="38" t="str">
        <x:v>actual</x:v>
      </x:c>
      <x:c r="G22" s="38" t="str">
        <x:v>mof_public_debt_bulletin_n25</x:v>
      </x:c>
      <x:c r="H22" s="38" t="str">
        <x:v>17. Public Debt Stock</x:v>
      </x:c>
      <x:c r="I22" s="38" t="str">
        <x:v>External Government Debt</x:v>
      </x:c>
      <x:c r="J22" s="38" t="str">
        <x:v>Million GEL</x:v>
      </x:c>
      <x:c r="K22" s="50" t="str">
        <x:v>Published year-end GEL component selected from the approved Government Debt stock row; no estimate.</x:v>
      </x:c>
      <x:c r="L22" s="38"/>
      <x:c r="M22" s="44" t="n">
        <x:v>46266</x:v>
      </x:c>
      <x:c r="N22" s="41" t="n">
        <x:v>49726.3</x:v>
      </x:c>
      <x:c r="O22" s="53" t="n">
        <x:f>IFERROR(C22/N22,"")</x:f>
        <x:v>0.31672776780094236</x:v>
      </x:c>
    </x:row>
    <x:row r="23" ht="34" customHeight="1">
      <x:c r="A23" s="34" t="n">
        <x:v>2020</x:v>
      </x:c>
      <x:c r="B23" s="38" t="str">
        <x:v>total</x:v>
      </x:c>
      <x:c r="C23" s="41" t="n">
        <x:v>29672</x:v>
      </x:c>
      <x:c r="D23" s="34" t="n">
        <x:v>29672000000</x:v>
      </x:c>
      <x:c r="E23" s="44" t="n">
        <x:v>44196</x:v>
      </x:c>
      <x:c r="F23" s="38" t="str">
        <x:v>actual</x:v>
      </x:c>
      <x:c r="G23" s="38" t="str">
        <x:v>mof_public_debt_bulletin_n25</x:v>
      </x:c>
      <x:c r="H23" s="38" t="str">
        <x:v>17. Public Debt Stock</x:v>
      </x:c>
      <x:c r="I23" s="38" t="str">
        <x:v>External Government Debt + Domestic Government Debt</x:v>
      </x:c>
      <x:c r="J23" s="38" t="str">
        <x:v>Million GEL</x:v>
      </x:c>
      <x:c r="K23" s="50" t="str">
        <x:v>Exact sum of the published Domestic Government Debt and External Government Debt GEL components; the rounded published total is retained only as a validation control.</x:v>
      </x:c>
      <x:c r="L23" s="38"/>
      <x:c r="M23" s="44" t="n">
        <x:v>46266</x:v>
      </x:c>
      <x:c r="N23" s="41" t="n">
        <x:v>49788.5</x:v>
      </x:c>
      <x:c r="O23" s="53" t="n">
        <x:f>IFERROR(C23/N23,"")</x:f>
        <x:v>0.5959609146690501</x:v>
      </x:c>
    </x:row>
    <x:row r="24" ht="34" customHeight="1">
      <x:c r="A24" s="34" t="n">
        <x:v>2020</x:v>
      </x:c>
      <x:c r="B24" s="38" t="str">
        <x:v>domestic</x:v>
      </x:c>
      <x:c r="C24" s="41" t="n">
        <x:v>6204.5</x:v>
      </x:c>
      <x:c r="D24" s="34" t="n">
        <x:v>6204500000</x:v>
      </x:c>
      <x:c r="E24" s="44" t="n">
        <x:v>44196</x:v>
      </x:c>
      <x:c r="F24" s="38" t="str">
        <x:v>actual</x:v>
      </x:c>
      <x:c r="G24" s="38" t="str">
        <x:v>mof_public_debt_bulletin_n25</x:v>
      </x:c>
      <x:c r="H24" s="38" t="str">
        <x:v>17. Public Debt Stock</x:v>
      </x:c>
      <x:c r="I24" s="38" t="str">
        <x:v>Domestic Government Debt</x:v>
      </x:c>
      <x:c r="J24" s="38" t="str">
        <x:v>Million GEL</x:v>
      </x:c>
      <x:c r="K24" s="50" t="str">
        <x:v>Published year-end GEL component selected from the approved Government Debt stock row; no estimate.</x:v>
      </x:c>
      <x:c r="L24" s="38"/>
      <x:c r="M24" s="44" t="n">
        <x:v>46266</x:v>
      </x:c>
      <x:c r="N24" s="41" t="n">
        <x:v>49788.5</x:v>
      </x:c>
      <x:c r="O24" s="53" t="n">
        <x:f>IFERROR(C24/N24,"")</x:f>
        <x:v>0.12461713046185365</x:v>
      </x:c>
    </x:row>
    <x:row r="25" ht="34" customHeight="1">
      <x:c r="A25" s="34" t="n">
        <x:v>2020</x:v>
      </x:c>
      <x:c r="B25" s="38" t="str">
        <x:v>external</x:v>
      </x:c>
      <x:c r="C25" s="41" t="n">
        <x:v>23467.5</x:v>
      </x:c>
      <x:c r="D25" s="34" t="n">
        <x:v>23467500000</x:v>
      </x:c>
      <x:c r="E25" s="44" t="n">
        <x:v>44196</x:v>
      </x:c>
      <x:c r="F25" s="38" t="str">
        <x:v>actual</x:v>
      </x:c>
      <x:c r="G25" s="38" t="str">
        <x:v>mof_public_debt_bulletin_n25</x:v>
      </x:c>
      <x:c r="H25" s="38" t="str">
        <x:v>17. Public Debt Stock</x:v>
      </x:c>
      <x:c r="I25" s="38" t="str">
        <x:v>External Government Debt</x:v>
      </x:c>
      <x:c r="J25" s="38" t="str">
        <x:v>Million GEL</x:v>
      </x:c>
      <x:c r="K25" s="50" t="str">
        <x:v>Published year-end GEL component selected from the approved Government Debt stock row; no estimate.</x:v>
      </x:c>
      <x:c r="L25" s="38"/>
      <x:c r="M25" s="44" t="n">
        <x:v>46266</x:v>
      </x:c>
      <x:c r="N25" s="41" t="n">
        <x:v>49788.5</x:v>
      </x:c>
      <x:c r="O25" s="53" t="n">
        <x:f>IFERROR(C25/N25,"")</x:f>
        <x:v>0.4713437842071964</x:v>
      </x:c>
    </x:row>
    <x:row r="26" ht="34" customHeight="1">
      <x:c r="A26" s="34" t="n">
        <x:v>2021</x:v>
      </x:c>
      <x:c r="B26" s="38" t="str">
        <x:v>total</x:v>
      </x:c>
      <x:c r="C26" s="41" t="n">
        <x:v>29811.9</x:v>
      </x:c>
      <x:c r="D26" s="34" t="n">
        <x:v>29811900000</x:v>
      </x:c>
      <x:c r="E26" s="44" t="n">
        <x:v>44561</x:v>
      </x:c>
      <x:c r="F26" s="38" t="str">
        <x:v>actual</x:v>
      </x:c>
      <x:c r="G26" s="38" t="str">
        <x:v>mof_public_debt_bulletin_n25</x:v>
      </x:c>
      <x:c r="H26" s="38" t="str">
        <x:v>17. Public Debt Stock</x:v>
      </x:c>
      <x:c r="I26" s="38" t="str">
        <x:v>External Government Debt + Domestic Government Debt</x:v>
      </x:c>
      <x:c r="J26" s="38" t="str">
        <x:v>Million GEL</x:v>
      </x:c>
      <x:c r="K26" s="50" t="str">
        <x:v>Exact sum of the published Domestic Government Debt and External Government Debt GEL components; the rounded published total is retained only as a validation control.</x:v>
      </x:c>
      <x:c r="L26" s="38"/>
      <x:c r="M26" s="44" t="n">
        <x:v>46266</x:v>
      </x:c>
      <x:c r="N26" s="41" t="n">
        <x:v>60724.1</x:v>
      </x:c>
      <x:c r="O26" s="53" t="n">
        <x:f>IFERROR(C26/N26,"")</x:f>
        <x:v>0.490940170377165</x:v>
      </x:c>
    </x:row>
    <x:row r="27" ht="34" customHeight="1">
      <x:c r="A27" s="34" t="n">
        <x:v>2021</x:v>
      </x:c>
      <x:c r="B27" s="38" t="str">
        <x:v>domestic</x:v>
      </x:c>
      <x:c r="C27" s="41" t="n">
        <x:v>5845.2</x:v>
      </x:c>
      <x:c r="D27" s="34" t="n">
        <x:v>5845200000</x:v>
      </x:c>
      <x:c r="E27" s="44" t="n">
        <x:v>44561</x:v>
      </x:c>
      <x:c r="F27" s="38" t="str">
        <x:v>actual</x:v>
      </x:c>
      <x:c r="G27" s="38" t="str">
        <x:v>mof_public_debt_bulletin_n25</x:v>
      </x:c>
      <x:c r="H27" s="38" t="str">
        <x:v>17. Public Debt Stock</x:v>
      </x:c>
      <x:c r="I27" s="38" t="str">
        <x:v>Domestic Government Debt</x:v>
      </x:c>
      <x:c r="J27" s="38" t="str">
        <x:v>Million GEL</x:v>
      </x:c>
      <x:c r="K27" s="50" t="str">
        <x:v>Published year-end GEL component selected from the approved Government Debt stock row; no estimate.</x:v>
      </x:c>
      <x:c r="L27" s="38"/>
      <x:c r="M27" s="44" t="n">
        <x:v>46266</x:v>
      </x:c>
      <x:c r="N27" s="41" t="n">
        <x:v>60724.1</x:v>
      </x:c>
      <x:c r="O27" s="53" t="n">
        <x:f>IFERROR(C27/N27,"")</x:f>
        <x:v>0.09625832247822529</x:v>
      </x:c>
    </x:row>
    <x:row r="28" ht="34" customHeight="1">
      <x:c r="A28" s="34" t="n">
        <x:v>2021</x:v>
      </x:c>
      <x:c r="B28" s="38" t="str">
        <x:v>external</x:v>
      </x:c>
      <x:c r="C28" s="41" t="n">
        <x:v>23966.7</x:v>
      </x:c>
      <x:c r="D28" s="34" t="n">
        <x:v>23966700000</x:v>
      </x:c>
      <x:c r="E28" s="44" t="n">
        <x:v>44561</x:v>
      </x:c>
      <x:c r="F28" s="38" t="str">
        <x:v>actual</x:v>
      </x:c>
      <x:c r="G28" s="38" t="str">
        <x:v>mof_public_debt_bulletin_n25</x:v>
      </x:c>
      <x:c r="H28" s="38" t="str">
        <x:v>17. Public Debt Stock</x:v>
      </x:c>
      <x:c r="I28" s="38" t="str">
        <x:v>External Government Debt</x:v>
      </x:c>
      <x:c r="J28" s="38" t="str">
        <x:v>Million GEL</x:v>
      </x:c>
      <x:c r="K28" s="50" t="str">
        <x:v>Published year-end GEL component selected from the approved Government Debt stock row; no estimate.</x:v>
      </x:c>
      <x:c r="L28" s="38"/>
      <x:c r="M28" s="44" t="n">
        <x:v>46266</x:v>
      </x:c>
      <x:c r="N28" s="41" t="n">
        <x:v>60724.1</x:v>
      </x:c>
      <x:c r="O28" s="53" t="n">
        <x:f>IFERROR(C28/N28,"")</x:f>
        <x:v>0.3946818478989397</x:v>
      </x:c>
    </x:row>
    <x:row r="29" ht="34" customHeight="1">
      <x:c r="A29" s="34" t="n">
        <x:v>2022</x:v>
      </x:c>
      <x:c r="B29" s="38" t="str">
        <x:v>total</x:v>
      </x:c>
      <x:c r="C29" s="41" t="n">
        <x:v>28587.3</x:v>
      </x:c>
      <x:c r="D29" s="34" t="n">
        <x:v>28587300000</x:v>
      </x:c>
      <x:c r="E29" s="44" t="n">
        <x:v>44926</x:v>
      </x:c>
      <x:c r="F29" s="38" t="str">
        <x:v>actual</x:v>
      </x:c>
      <x:c r="G29" s="38" t="str">
        <x:v>mof_public_debt_bulletin_n25</x:v>
      </x:c>
      <x:c r="H29" s="38" t="str">
        <x:v>17. Public Debt Stock</x:v>
      </x:c>
      <x:c r="I29" s="38" t="str">
        <x:v>External Government Debt + Domestic Government Debt</x:v>
      </x:c>
      <x:c r="J29" s="38" t="str">
        <x:v>Million GEL</x:v>
      </x:c>
      <x:c r="K29" s="50" t="str">
        <x:v>Exact sum of the published Domestic Government Debt and External Government Debt GEL components; the rounded published total is retained only as a validation control.</x:v>
      </x:c>
      <x:c r="L29" s="38" t="str">
        <x:v>government-domestic-2022-general-government-soes</x:v>
      </x:c>
      <x:c r="M29" s="44" t="n">
        <x:v>46266</x:v>
      </x:c>
      <x:c r="N29" s="41" t="n">
        <x:v>72860.1</x:v>
      </x:c>
      <x:c r="O29" s="53" t="n">
        <x:f>IFERROR(C29/N29,"")</x:f>
        <x:v>0.39235878073184083</x:v>
      </x:c>
    </x:row>
    <x:row r="30" ht="34" customHeight="1">
      <x:c r="A30" s="34" t="n">
        <x:v>2022</x:v>
      </x:c>
      <x:c r="B30" s="38" t="str">
        <x:v>domestic</x:v>
      </x:c>
      <x:c r="C30" s="41" t="n">
        <x:v>7195.3</x:v>
      </x:c>
      <x:c r="D30" s="34" t="n">
        <x:v>7195300000</x:v>
      </x:c>
      <x:c r="E30" s="44" t="n">
        <x:v>44926</x:v>
      </x:c>
      <x:c r="F30" s="38" t="str">
        <x:v>actual</x:v>
      </x:c>
      <x:c r="G30" s="38" t="str">
        <x:v>mof_public_debt_bulletin_n25</x:v>
      </x:c>
      <x:c r="H30" s="38" t="str">
        <x:v>17. Public Debt Stock</x:v>
      </x:c>
      <x:c r="I30" s="38" t="str">
        <x:v>Domestic Government Debt</x:v>
      </x:c>
      <x:c r="J30" s="38" t="str">
        <x:v>Million GEL</x:v>
      </x:c>
      <x:c r="K30" s="50" t="str">
        <x:v>Published year-end GEL component selected from the approved Government Debt stock row; no estimate.</x:v>
      </x:c>
      <x:c r="L30" s="38" t="str">
        <x:v>government-domestic-2022-general-government-soes</x:v>
      </x:c>
      <x:c r="M30" s="44" t="n">
        <x:v>46266</x:v>
      </x:c>
      <x:c r="N30" s="41" t="n">
        <x:v>72860.1</x:v>
      </x:c>
      <x:c r="O30" s="53" t="n">
        <x:f>IFERROR(C30/N30,"")</x:f>
        <x:v>0.09875501131620736</x:v>
      </x:c>
    </x:row>
    <x:row r="31" ht="34" customHeight="1">
      <x:c r="A31" s="34" t="n">
        <x:v>2022</x:v>
      </x:c>
      <x:c r="B31" s="38" t="str">
        <x:v>external</x:v>
      </x:c>
      <x:c r="C31" s="41" t="n">
        <x:v>21392</x:v>
      </x:c>
      <x:c r="D31" s="34" t="n">
        <x:v>21392000000</x:v>
      </x:c>
      <x:c r="E31" s="44" t="n">
        <x:v>44926</x:v>
      </x:c>
      <x:c r="F31" s="38" t="str">
        <x:v>actual</x:v>
      </x:c>
      <x:c r="G31" s="38" t="str">
        <x:v>mof_public_debt_bulletin_n25</x:v>
      </x:c>
      <x:c r="H31" s="38" t="str">
        <x:v>17. Public Debt Stock</x:v>
      </x:c>
      <x:c r="I31" s="38" t="str">
        <x:v>External Government Debt</x:v>
      </x:c>
      <x:c r="J31" s="38" t="str">
        <x:v>Million GEL</x:v>
      </x:c>
      <x:c r="K31" s="50" t="str">
        <x:v>Published year-end GEL component selected from the approved Government Debt stock row; no estimate.</x:v>
      </x:c>
      <x:c r="L31" s="38"/>
      <x:c r="M31" s="44" t="n">
        <x:v>46266</x:v>
      </x:c>
      <x:c r="N31" s="41" t="n">
        <x:v>72860.1</x:v>
      </x:c>
      <x:c r="O31" s="53" t="n">
        <x:f>IFERROR(C31/N31,"")</x:f>
        <x:v>0.2936037694156335</x:v>
      </x:c>
    </x:row>
    <x:row r="32" ht="34" customHeight="1">
      <x:c r="A32" s="34" t="n">
        <x:v>2023</x:v>
      </x:c>
      <x:c r="B32" s="38" t="str">
        <x:v>total</x:v>
      </x:c>
      <x:c r="C32" s="41" t="n">
        <x:v>31482.2</x:v>
      </x:c>
      <x:c r="D32" s="34" t="n">
        <x:v>31482200000</x:v>
      </x:c>
      <x:c r="E32" s="44" t="n">
        <x:v>45291</x:v>
      </x:c>
      <x:c r="F32" s="38" t="str">
        <x:v>actual</x:v>
      </x:c>
      <x:c r="G32" s="38" t="str">
        <x:v>mof_public_debt_bulletin_n25</x:v>
      </x:c>
      <x:c r="H32" s="38" t="str">
        <x:v>17. Public Debt Stock</x:v>
      </x:c>
      <x:c r="I32" s="38" t="str">
        <x:v>External Government Debt + Domestic Government Debt</x:v>
      </x:c>
      <x:c r="J32" s="38" t="str">
        <x:v>Million GEL</x:v>
      </x:c>
      <x:c r="K32" s="50" t="str">
        <x:v>Exact sum of the published Domestic Government Debt and External Government Debt GEL components; the rounded published total is retained only as a validation control.</x:v>
      </x:c>
      <x:c r="L32" s="38"/>
      <x:c r="M32" s="44" t="n">
        <x:v>46266</x:v>
      </x:c>
      <x:c r="N32" s="41" t="n">
        <x:v>80882.8</x:v>
      </x:c>
      <x:c r="O32" s="53" t="n">
        <x:f>IFERROR(C32/N32,"")</x:f>
        <x:v>0.3892323213340784</x:v>
      </x:c>
    </x:row>
    <x:row r="33" ht="34" customHeight="1">
      <x:c r="A33" s="34" t="n">
        <x:v>2023</x:v>
      </x:c>
      <x:c r="B33" s="38" t="str">
        <x:v>domestic</x:v>
      </x:c>
      <x:c r="C33" s="41" t="n">
        <x:v>8606.3</x:v>
      </x:c>
      <x:c r="D33" s="34" t="n">
        <x:v>8606300000</x:v>
      </x:c>
      <x:c r="E33" s="44" t="n">
        <x:v>45291</x:v>
      </x:c>
      <x:c r="F33" s="38" t="str">
        <x:v>actual</x:v>
      </x:c>
      <x:c r="G33" s="38" t="str">
        <x:v>mof_public_debt_bulletin_n25</x:v>
      </x:c>
      <x:c r="H33" s="38" t="str">
        <x:v>17. Public Debt Stock</x:v>
      </x:c>
      <x:c r="I33" s="38" t="str">
        <x:v>Domestic Government Debt</x:v>
      </x:c>
      <x:c r="J33" s="38" t="str">
        <x:v>Million GEL</x:v>
      </x:c>
      <x:c r="K33" s="50" t="str">
        <x:v>Published year-end GEL component selected from the approved Government Debt stock row; no estimate.</x:v>
      </x:c>
      <x:c r="L33" s="38"/>
      <x:c r="M33" s="44" t="n">
        <x:v>46266</x:v>
      </x:c>
      <x:c r="N33" s="41" t="n">
        <x:v>80882.8</x:v>
      </x:c>
      <x:c r="O33" s="53" t="n">
        <x:f>IFERROR(C33/N33,"")</x:f>
        <x:v>0.10640457550925535</x:v>
      </x:c>
    </x:row>
    <x:row r="34" ht="34" customHeight="1">
      <x:c r="A34" s="34" t="n">
        <x:v>2023</x:v>
      </x:c>
      <x:c r="B34" s="38" t="str">
        <x:v>external</x:v>
      </x:c>
      <x:c r="C34" s="41" t="n">
        <x:v>22875.9</x:v>
      </x:c>
      <x:c r="D34" s="34" t="n">
        <x:v>22875900000</x:v>
      </x:c>
      <x:c r="E34" s="44" t="n">
        <x:v>45291</x:v>
      </x:c>
      <x:c r="F34" s="38" t="str">
        <x:v>actual</x:v>
      </x:c>
      <x:c r="G34" s="38" t="str">
        <x:v>mof_public_debt_bulletin_n25</x:v>
      </x:c>
      <x:c r="H34" s="38" t="str">
        <x:v>17. Public Debt Stock</x:v>
      </x:c>
      <x:c r="I34" s="38" t="str">
        <x:v>External Government Debt</x:v>
      </x:c>
      <x:c r="J34" s="38" t="str">
        <x:v>Million GEL</x:v>
      </x:c>
      <x:c r="K34" s="50" t="str">
        <x:v>Published year-end GEL component selected from the approved Government Debt stock row; no estimate.</x:v>
      </x:c>
      <x:c r="L34" s="38"/>
      <x:c r="M34" s="44" t="n">
        <x:v>46266</x:v>
      </x:c>
      <x:c r="N34" s="41" t="n">
        <x:v>80882.8</x:v>
      </x:c>
      <x:c r="O34" s="53" t="n">
        <x:f>IFERROR(C34/N34,"")</x:f>
        <x:v>0.28282774582482306</x:v>
      </x:c>
    </x:row>
    <x:row r="35" ht="34" customHeight="1">
      <x:c r="A35" s="34" t="n">
        <x:v>2024</x:v>
      </x:c>
      <x:c r="B35" s="38" t="str">
        <x:v>total</x:v>
      </x:c>
      <x:c r="C35" s="41" t="n">
        <x:v>33169.3</x:v>
      </x:c>
      <x:c r="D35" s="34" t="n">
        <x:v>33169300000</x:v>
      </x:c>
      <x:c r="E35" s="44" t="n">
        <x:v>45657</x:v>
      </x:c>
      <x:c r="F35" s="38" t="str">
        <x:v>actual</x:v>
      </x:c>
      <x:c r="G35" s="38" t="str">
        <x:v>mof_public_debt_bulletin_n25</x:v>
      </x:c>
      <x:c r="H35" s="38" t="str">
        <x:v>17. Public Debt Stock</x:v>
      </x:c>
      <x:c r="I35" s="38" t="str">
        <x:v>External Government Debt + Domestic Government Debt</x:v>
      </x:c>
      <x:c r="J35" s="38" t="str">
        <x:v>Million GEL</x:v>
      </x:c>
      <x:c r="K35" s="50" t="str">
        <x:v>Exact sum of the published Domestic Government Debt and External Government Debt GEL components; the rounded published total is retained only as a validation control.</x:v>
      </x:c>
      <x:c r="L35" s="38"/>
      <x:c r="M35" s="44" t="n">
        <x:v>46266</x:v>
      </x:c>
      <x:c r="N35" s="41" t="n">
        <x:v>93022.3</x:v>
      </x:c>
      <x:c r="O35" s="53" t="n">
        <x:f>IFERROR(C35/N35,"")</x:f>
        <x:v>0.3565736387941386</x:v>
      </x:c>
    </x:row>
    <x:row r="36" ht="34" customHeight="1">
      <x:c r="A36" s="34" t="n">
        <x:v>2024</x:v>
      </x:c>
      <x:c r="B36" s="38" t="str">
        <x:v>domestic</x:v>
      </x:c>
      <x:c r="C36" s="41" t="n">
        <x:v>10048</x:v>
      </x:c>
      <x:c r="D36" s="34" t="n">
        <x:v>10048000000</x:v>
      </x:c>
      <x:c r="E36" s="44" t="n">
        <x:v>45657</x:v>
      </x:c>
      <x:c r="F36" s="38" t="str">
        <x:v>actual</x:v>
      </x:c>
      <x:c r="G36" s="38" t="str">
        <x:v>mof_public_debt_bulletin_n25</x:v>
      </x:c>
      <x:c r="H36" s="38" t="str">
        <x:v>17. Public Debt Stock</x:v>
      </x:c>
      <x:c r="I36" s="38" t="str">
        <x:v>Domestic Government Debt</x:v>
      </x:c>
      <x:c r="J36" s="38" t="str">
        <x:v>Million GEL</x:v>
      </x:c>
      <x:c r="K36" s="50" t="str">
        <x:v>Published year-end GEL component selected from the approved Government Debt stock row; no estimate.</x:v>
      </x:c>
      <x:c r="L36" s="38"/>
      <x:c r="M36" s="44" t="n">
        <x:v>46266</x:v>
      </x:c>
      <x:c r="N36" s="41" t="n">
        <x:v>93022.3</x:v>
      </x:c>
      <x:c r="O36" s="53" t="n">
        <x:f>IFERROR(C36/N36,"")</x:f>
        <x:v>0.10801710987580397</x:v>
      </x:c>
    </x:row>
    <x:row r="37" ht="34" customHeight="1">
      <x:c r="A37" s="34" t="n">
        <x:v>2024</x:v>
      </x:c>
      <x:c r="B37" s="38" t="str">
        <x:v>external</x:v>
      </x:c>
      <x:c r="C37" s="41" t="n">
        <x:v>23121.3</x:v>
      </x:c>
      <x:c r="D37" s="34" t="n">
        <x:v>23121300000</x:v>
      </x:c>
      <x:c r="E37" s="44" t="n">
        <x:v>45657</x:v>
      </x:c>
      <x:c r="F37" s="38" t="str">
        <x:v>actual</x:v>
      </x:c>
      <x:c r="G37" s="38" t="str">
        <x:v>mof_public_debt_bulletin_n25</x:v>
      </x:c>
      <x:c r="H37" s="38" t="str">
        <x:v>17. Public Debt Stock</x:v>
      </x:c>
      <x:c r="I37" s="38" t="str">
        <x:v>External Government Debt</x:v>
      </x:c>
      <x:c r="J37" s="38" t="str">
        <x:v>Million GEL</x:v>
      </x:c>
      <x:c r="K37" s="50" t="str">
        <x:v>Published year-end GEL component selected from the approved Government Debt stock row; no estimate.</x:v>
      </x:c>
      <x:c r="L37" s="38"/>
      <x:c r="M37" s="44" t="n">
        <x:v>46266</x:v>
      </x:c>
      <x:c r="N37" s="41" t="n">
        <x:v>93022.3</x:v>
      </x:c>
      <x:c r="O37" s="53" t="n">
        <x:f>IFERROR(C37/N37,"")</x:f>
        <x:v>0.24855652891833463</x:v>
      </x:c>
    </x:row>
    <x:row r="38" ht="34" customHeight="1">
      <x:c r="A38" s="34" t="n">
        <x:v>2025</x:v>
      </x:c>
      <x:c r="B38" s="38" t="str">
        <x:v>total</x:v>
      </x:c>
      <x:c r="C38" s="41" t="n">
        <x:v>35934.4</x:v>
      </x:c>
      <x:c r="D38" s="34" t="n">
        <x:v>35934400000</x:v>
      </x:c>
      <x:c r="E38" s="44" t="n">
        <x:v>46022</x:v>
      </x:c>
      <x:c r="F38" s="38" t="str">
        <x:v>actual</x:v>
      </x:c>
      <x:c r="G38" s="38" t="str">
        <x:v>mof_public_debt_bulletin_n25</x:v>
      </x:c>
      <x:c r="H38" s="38" t="str">
        <x:v>17. Public Debt Stock</x:v>
      </x:c>
      <x:c r="I38" s="38" t="str">
        <x:v>External Government Debt + Domestic Government Debt</x:v>
      </x:c>
      <x:c r="J38" s="38" t="str">
        <x:v>Million GEL</x:v>
      </x:c>
      <x:c r="K38" s="50" t="str">
        <x:v>Exact sum of the published Domestic Government Debt and External Government Debt GEL components; the rounded published total is retained only as a validation control.</x:v>
      </x:c>
      <x:c r="L38" s="38"/>
      <x:c r="M38" s="44" t="n">
        <x:v>46266</x:v>
      </x:c>
      <x:c r="N38" s="41" t="n">
        <x:v>104598.1</x:v>
      </x:c>
      <x:c r="O38" s="53" t="n">
        <x:f>IFERROR(C38/N38,"")</x:f>
        <x:v>0.3435473493304372</x:v>
      </x:c>
    </x:row>
    <x:row r="39" ht="34" customHeight="1">
      <x:c r="A39" s="34" t="n">
        <x:v>2025</x:v>
      </x:c>
      <x:c r="B39" s="38" t="str">
        <x:v>domestic</x:v>
      </x:c>
      <x:c r="C39" s="41" t="n">
        <x:v>11703.1</x:v>
      </x:c>
      <x:c r="D39" s="34" t="n">
        <x:v>11703100000</x:v>
      </x:c>
      <x:c r="E39" s="44" t="n">
        <x:v>46022</x:v>
      </x:c>
      <x:c r="F39" s="38" t="str">
        <x:v>actual</x:v>
      </x:c>
      <x:c r="G39" s="38" t="str">
        <x:v>mof_public_debt_bulletin_n25</x:v>
      </x:c>
      <x:c r="H39" s="38" t="str">
        <x:v>17. Public Debt Stock</x:v>
      </x:c>
      <x:c r="I39" s="38" t="str">
        <x:v>Domestic Government Debt</x:v>
      </x:c>
      <x:c r="J39" s="38" t="str">
        <x:v>Million GEL</x:v>
      </x:c>
      <x:c r="K39" s="50" t="str">
        <x:v>Published year-end GEL component selected from the approved Government Debt stock row; no estimate.</x:v>
      </x:c>
      <x:c r="L39" s="38"/>
      <x:c r="M39" s="44" t="n">
        <x:v>46266</x:v>
      </x:c>
      <x:c r="N39" s="41" t="n">
        <x:v>104598.1</x:v>
      </x:c>
      <x:c r="O39" s="53" t="n">
        <x:f>IFERROR(C39/N39,"")</x:f>
        <x:v>0.11188635357621218</x:v>
      </x:c>
    </x:row>
    <x:row r="40" ht="34" customHeight="1">
      <x:c r="A40" s="35" t="n">
        <x:v>2025</x:v>
      </x:c>
      <x:c r="B40" s="39" t="str">
        <x:v>external</x:v>
      </x:c>
      <x:c r="C40" s="42" t="n">
        <x:v>24231.3</x:v>
      </x:c>
      <x:c r="D40" s="35" t="n">
        <x:v>24231300000</x:v>
      </x:c>
      <x:c r="E40" s="45" t="n">
        <x:v>46022</x:v>
      </x:c>
      <x:c r="F40" s="39" t="str">
        <x:v>actual</x:v>
      </x:c>
      <x:c r="G40" s="39" t="str">
        <x:v>mof_public_debt_bulletin_n25</x:v>
      </x:c>
      <x:c r="H40" s="39" t="str">
        <x:v>17. Public Debt Stock</x:v>
      </x:c>
      <x:c r="I40" s="39" t="str">
        <x:v>External Government Debt</x:v>
      </x:c>
      <x:c r="J40" s="39" t="str">
        <x:v>Million GEL</x:v>
      </x:c>
      <x:c r="K40" s="51" t="str">
        <x:v>Published year-end GEL component selected from the approved Government Debt stock row; no estimate.</x:v>
      </x:c>
      <x:c r="L40" s="39"/>
      <x:c r="M40" s="45" t="n">
        <x:v>46266</x:v>
      </x:c>
      <x:c r="N40" s="42" t="n">
        <x:v>104598.1</x:v>
      </x:c>
      <x:c r="O40" s="54" t="n">
        <x:f>IFERROR(C40/N40,"")</x:f>
        <x:v>0.23166099575422497</x:v>
      </x:c>
    </x:row>
  </x:sheetData>
  <x:pageMargins left="0.7" right="0.7" top="0.75" bottom="0.75" header="0.3" footer="0.3"/>
  <x:tableParts count="1">
    <x:tablePart xmlns:r="http://schemas.openxmlformats.org/officeDocument/2006/relationships" r:id="Re45b86597887460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3" hidden="0" customWidth="1"/>
    <x:col min="4" max="4" width="14" hidden="0" customWidth="1"/>
    <x:col min="5" max="5" width="34" hidden="0" customWidth="1"/>
    <x:col min="6" max="6" width="34" hidden="0" customWidth="1"/>
    <x:col min="7" max="7" width="30" hidden="0" customWidth="1"/>
    <x:col min="8" max="8" width="34" hidden="0" customWidth="1"/>
    <x:col min="9" max="9" width="36" hidden="0" customWidth="1"/>
    <x:col min="10" max="10" width="36" hidden="0" customWidth="1"/>
    <x:col min="11" max="11" width="18" hidden="0" customWidth="1"/>
    <x:col min="12" max="12" width="58" hidden="0" customWidth="1"/>
    <x:col min="13" max="13" width="14" hidden="0" customWidth="1"/>
  </x:cols>
  <x:sheetData>
    <x:row r="1" ht="48" customHeight="1">
      <x:c r="A1" s="29" t="str">
        <x:v>year</x:v>
      </x:c>
      <x:c r="B1" s="36" t="str">
        <x:v>debt_scope</x:v>
      </x:c>
      <x:c r="C1" s="29" t="str">
        <x:v>weighted_average_interest_rate_percent</x:v>
      </x:c>
      <x:c r="D1" s="29" t="str">
        <x:v>observation_date</x:v>
      </x:c>
      <x:c r="E1" s="36" t="str">
        <x:v>portfolio_scope</x:v>
      </x:c>
      <x:c r="F1" s="36" t="str">
        <x:v>rate_definition</x:v>
      </x:c>
      <x:c r="G1" s="36" t="str">
        <x:v>availability_status</x:v>
      </x:c>
      <x:c r="H1" s="36" t="str">
        <x:v>source_id</x:v>
      </x:c>
      <x:c r="I1" s="36" t="str">
        <x:v>source_table</x:v>
      </x:c>
      <x:c r="J1" s="36" t="str">
        <x:v>source_row_label</x:v>
      </x:c>
      <x:c r="K1" s="36" t="str">
        <x:v>source_unit</x:v>
      </x:c>
      <x:c r="L1" s="36" t="str">
        <x:v>transformation</x:v>
      </x:c>
      <x:c r="M1" s="29" t="str">
        <x:v>last_reviewed_at</x:v>
      </x:c>
    </x:row>
    <x:row r="2" ht="42" customHeight="1">
      <x:c r="A2" s="33" t="n">
        <x:v>2015</x:v>
      </x:c>
      <x:c r="B2" s="37" t="str">
        <x:v>total</x:v>
      </x:c>
      <x:c r="C2" s="55" t="n">
        <x:v>3.1</x:v>
      </x:c>
      <x:c r="D2" s="43" t="n">
        <x:v>42369</x:v>
      </x:c>
      <x:c r="E2" s="37" t="str">
        <x:v>Total Government Debt portfolio</x:v>
      </x:c>
      <x:c r="F2" s="37" t="str">
        <x:v>Year-end weighted-average annual interest rate</x:v>
      </x:c>
      <x:c r="G2" s="37" t="str">
        <x:v>available</x:v>
      </x:c>
      <x:c r="H2" s="37" t="str">
        <x:v>mof_monthly_debt_report_2026_07</x:v>
      </x:c>
      <x:c r="I2" s="37" t="str">
        <x:v>ATM and Interest Rate</x:v>
      </x:c>
      <x:c r="J2" s="37" t="str">
        <x:v>Weighted Average Interest Rate</x:v>
      </x:c>
      <x:c r="K2" s="37" t="str">
        <x:v>% p.a.</x:v>
      </x:c>
      <x:c r="L2" s="49" t="str">
        <x:v>Exact published weighted-average portfolio interest rate; no calculation or chart-position digitization.</x:v>
      </x:c>
      <x:c r="M2" s="43" t="n">
        <x:v>46266</x:v>
      </x:c>
    </x:row>
    <x:row r="3" ht="42" customHeight="1">
      <x:c r="A3" s="34" t="n">
        <x:v>2015</x:v>
      </x:c>
      <x:c r="B3" s="38" t="str">
        <x:v>domestic</x:v>
      </x:c>
      <x:c r="C3" s="56"/>
      <x:c r="D3" s="44" t="n">
        <x:v>42369</x:v>
      </x:c>
      <x:c r="E3" s="38" t="str">
        <x:v>Domestic Government Debt portfolio</x:v>
      </x:c>
      <x:c r="F3" s="38" t="str">
        <x:v>Year-end weighted-average annual interest rate</x:v>
      </x:c>
      <x:c r="G3" s="38" t="str">
        <x:v>not_found_in_reviewed_sources</x:v>
      </x:c>
      <x:c r="H3" s="38" t="str">
        <x:v>mof_monthly_debt_report_2026_07</x:v>
      </x:c>
      <x:c r="I3" s="38" t="str">
        <x:v>Reviewed official source set</x:v>
      </x:c>
      <x:c r="J3" s="38" t="str">
        <x:v>No comparable source row</x:v>
      </x:c>
      <x:c r="K3" s="38" t="str">
        <x:v>% p.a.</x:v>
      </x:c>
      <x:c r="L3" s="50" t="str">
        <x:v>No exact comparable year-end component rate was found in the reviewed official sources; no estimate.</x:v>
      </x:c>
      <x:c r="M3" s="44" t="n">
        <x:v>46266</x:v>
      </x:c>
    </x:row>
    <x:row r="4" ht="42" customHeight="1">
      <x:c r="A4" s="34" t="n">
        <x:v>2015</x:v>
      </x:c>
      <x:c r="B4" s="38" t="str">
        <x:v>external</x:v>
      </x:c>
      <x:c r="C4" s="56"/>
      <x:c r="D4" s="44" t="n">
        <x:v>42369</x:v>
      </x:c>
      <x:c r="E4" s="38" t="str">
        <x:v>External Government Debt portfolio</x:v>
      </x:c>
      <x:c r="F4" s="38" t="str">
        <x:v>Year-end weighted-average annual interest rate</x:v>
      </x:c>
      <x:c r="G4" s="38" t="str">
        <x:v>not_found_in_reviewed_sources</x:v>
      </x:c>
      <x:c r="H4" s="38" t="str">
        <x:v>mof_monthly_debt_report_2026_07</x:v>
      </x:c>
      <x:c r="I4" s="38" t="str">
        <x:v>Reviewed official source set</x:v>
      </x:c>
      <x:c r="J4" s="38" t="str">
        <x:v>No comparable source row</x:v>
      </x:c>
      <x:c r="K4" s="38" t="str">
        <x:v>% p.a.</x:v>
      </x:c>
      <x:c r="L4" s="50" t="str">
        <x:v>No exact comparable year-end component rate was found in the reviewed official sources; no estimate.</x:v>
      </x:c>
      <x:c r="M4" s="44" t="n">
        <x:v>46266</x:v>
      </x:c>
    </x:row>
    <x:row r="5" ht="42" customHeight="1">
      <x:c r="A5" s="34" t="n">
        <x:v>2016</x:v>
      </x:c>
      <x:c r="B5" s="38" t="str">
        <x:v>total</x:v>
      </x:c>
      <x:c r="C5" s="56" t="n">
        <x:v>3.3</x:v>
      </x:c>
      <x:c r="D5" s="44" t="n">
        <x:v>42735</x:v>
      </x:c>
      <x:c r="E5" s="38" t="str">
        <x:v>Total Government Debt portfolio</x:v>
      </x:c>
      <x:c r="F5" s="38" t="str">
        <x:v>Year-end weighted-average annual interest rate</x:v>
      </x:c>
      <x:c r="G5" s="38" t="str">
        <x:v>available</x:v>
      </x:c>
      <x:c r="H5" s="38" t="str">
        <x:v>mof_monthly_debt_report_2026_07</x:v>
      </x:c>
      <x:c r="I5" s="38" t="str">
        <x:v>ATM and Interest Rate</x:v>
      </x:c>
      <x:c r="J5" s="38" t="str">
        <x:v>Weighted Average Interest Rate</x:v>
      </x:c>
      <x:c r="K5" s="38" t="str">
        <x:v>% p.a.</x:v>
      </x:c>
      <x:c r="L5" s="50" t="str">
        <x:v>Exact published weighted-average portfolio interest rate; no calculation or chart-position digitization.</x:v>
      </x:c>
      <x:c r="M5" s="44" t="n">
        <x:v>46266</x:v>
      </x:c>
    </x:row>
    <x:row r="6" ht="42" customHeight="1">
      <x:c r="A6" s="34" t="n">
        <x:v>2016</x:v>
      </x:c>
      <x:c r="B6" s="38" t="str">
        <x:v>domestic</x:v>
      </x:c>
      <x:c r="C6" s="56"/>
      <x:c r="D6" s="44" t="n">
        <x:v>42735</x:v>
      </x:c>
      <x:c r="E6" s="38" t="str">
        <x:v>Domestic Government Debt portfolio</x:v>
      </x:c>
      <x:c r="F6" s="38" t="str">
        <x:v>Year-end weighted-average annual interest rate</x:v>
      </x:c>
      <x:c r="G6" s="38" t="str">
        <x:v>not_found_in_reviewed_sources</x:v>
      </x:c>
      <x:c r="H6" s="38" t="str">
        <x:v>mof_monthly_debt_report_2026_07</x:v>
      </x:c>
      <x:c r="I6" s="38" t="str">
        <x:v>Reviewed official source set</x:v>
      </x:c>
      <x:c r="J6" s="38" t="str">
        <x:v>No comparable source row</x:v>
      </x:c>
      <x:c r="K6" s="38" t="str">
        <x:v>% p.a.</x:v>
      </x:c>
      <x:c r="L6" s="50" t="str">
        <x:v>No exact comparable year-end component rate was found in the reviewed official sources; no estimate.</x:v>
      </x:c>
      <x:c r="M6" s="44" t="n">
        <x:v>46266</x:v>
      </x:c>
    </x:row>
    <x:row r="7" ht="42" customHeight="1">
      <x:c r="A7" s="34" t="n">
        <x:v>2016</x:v>
      </x:c>
      <x:c r="B7" s="38" t="str">
        <x:v>external</x:v>
      </x:c>
      <x:c r="C7" s="56"/>
      <x:c r="D7" s="44" t="n">
        <x:v>42735</x:v>
      </x:c>
      <x:c r="E7" s="38" t="str">
        <x:v>External Government Debt portfolio</x:v>
      </x:c>
      <x:c r="F7" s="38" t="str">
        <x:v>Year-end weighted-average annual interest rate</x:v>
      </x:c>
      <x:c r="G7" s="38" t="str">
        <x:v>not_found_in_reviewed_sources</x:v>
      </x:c>
      <x:c r="H7" s="38" t="str">
        <x:v>mof_monthly_debt_report_2026_07</x:v>
      </x:c>
      <x:c r="I7" s="38" t="str">
        <x:v>Reviewed official source set</x:v>
      </x:c>
      <x:c r="J7" s="38" t="str">
        <x:v>No comparable source row</x:v>
      </x:c>
      <x:c r="K7" s="38" t="str">
        <x:v>% p.a.</x:v>
      </x:c>
      <x:c r="L7" s="50" t="str">
        <x:v>No exact comparable year-end component rate was found in the reviewed official sources; no estimate.</x:v>
      </x:c>
      <x:c r="M7" s="44" t="n">
        <x:v>46266</x:v>
      </x:c>
    </x:row>
    <x:row r="8" ht="42" customHeight="1">
      <x:c r="A8" s="34" t="n">
        <x:v>2017</x:v>
      </x:c>
      <x:c r="B8" s="38" t="str">
        <x:v>total</x:v>
      </x:c>
      <x:c r="C8" s="56" t="n">
        <x:v>3.2</x:v>
      </x:c>
      <x:c r="D8" s="44" t="n">
        <x:v>43100</x:v>
      </x:c>
      <x:c r="E8" s="38" t="str">
        <x:v>Total Government Debt portfolio</x:v>
      </x:c>
      <x:c r="F8" s="38" t="str">
        <x:v>Year-end weighted-average annual interest rate</x:v>
      </x:c>
      <x:c r="G8" s="38" t="str">
        <x:v>available</x:v>
      </x:c>
      <x:c r="H8" s="38" t="str">
        <x:v>mof_monthly_debt_report_2026_07</x:v>
      </x:c>
      <x:c r="I8" s="38" t="str">
        <x:v>ATM and Interest Rate</x:v>
      </x:c>
      <x:c r="J8" s="38" t="str">
        <x:v>Weighted Average Interest Rate</x:v>
      </x:c>
      <x:c r="K8" s="38" t="str">
        <x:v>% p.a.</x:v>
      </x:c>
      <x:c r="L8" s="50" t="str">
        <x:v>Exact published weighted-average portfolio interest rate; no calculation or chart-position digitization.</x:v>
      </x:c>
      <x:c r="M8" s="44" t="n">
        <x:v>46266</x:v>
      </x:c>
    </x:row>
    <x:row r="9" ht="42" customHeight="1">
      <x:c r="A9" s="34" t="n">
        <x:v>2017</x:v>
      </x:c>
      <x:c r="B9" s="38" t="str">
        <x:v>domestic</x:v>
      </x:c>
      <x:c r="C9" s="56"/>
      <x:c r="D9" s="44" t="n">
        <x:v>43100</x:v>
      </x:c>
      <x:c r="E9" s="38" t="str">
        <x:v>Domestic Government Debt portfolio</x:v>
      </x:c>
      <x:c r="F9" s="38" t="str">
        <x:v>Year-end weighted-average annual interest rate</x:v>
      </x:c>
      <x:c r="G9" s="38" t="str">
        <x:v>not_found_in_reviewed_sources</x:v>
      </x:c>
      <x:c r="H9" s="38" t="str">
        <x:v>mof_monthly_debt_report_2026_07</x:v>
      </x:c>
      <x:c r="I9" s="38" t="str">
        <x:v>Reviewed official source set</x:v>
      </x:c>
      <x:c r="J9" s="38" t="str">
        <x:v>No comparable source row</x:v>
      </x:c>
      <x:c r="K9" s="38" t="str">
        <x:v>% p.a.</x:v>
      </x:c>
      <x:c r="L9" s="50" t="str">
        <x:v>No exact comparable year-end component rate was found in the reviewed official sources; no estimate.</x:v>
      </x:c>
      <x:c r="M9" s="44" t="n">
        <x:v>46266</x:v>
      </x:c>
    </x:row>
    <x:row r="10" ht="42" customHeight="1">
      <x:c r="A10" s="34" t="n">
        <x:v>2017</x:v>
      </x:c>
      <x:c r="B10" s="38" t="str">
        <x:v>external</x:v>
      </x:c>
      <x:c r="C10" s="56"/>
      <x:c r="D10" s="44" t="n">
        <x:v>43100</x:v>
      </x:c>
      <x:c r="E10" s="38" t="str">
        <x:v>External Government Debt portfolio</x:v>
      </x:c>
      <x:c r="F10" s="38" t="str">
        <x:v>Year-end weighted-average annual interest rate</x:v>
      </x:c>
      <x:c r="G10" s="38" t="str">
        <x:v>not_found_in_reviewed_sources</x:v>
      </x:c>
      <x:c r="H10" s="38" t="str">
        <x:v>mof_monthly_debt_report_2026_07</x:v>
      </x:c>
      <x:c r="I10" s="38" t="str">
        <x:v>Reviewed official source set</x:v>
      </x:c>
      <x:c r="J10" s="38" t="str">
        <x:v>No comparable source row</x:v>
      </x:c>
      <x:c r="K10" s="38" t="str">
        <x:v>% p.a.</x:v>
      </x:c>
      <x:c r="L10" s="50" t="str">
        <x:v>No exact comparable year-end component rate was found in the reviewed official sources; no estimate.</x:v>
      </x:c>
      <x:c r="M10" s="44" t="n">
        <x:v>46266</x:v>
      </x:c>
    </x:row>
    <x:row r="11" ht="42" customHeight="1">
      <x:c r="A11" s="34" t="n">
        <x:v>2018</x:v>
      </x:c>
      <x:c r="B11" s="38" t="str">
        <x:v>total</x:v>
      </x:c>
      <x:c r="C11" s="56" t="n">
        <x:v>3.3</x:v>
      </x:c>
      <x:c r="D11" s="44" t="n">
        <x:v>43465</x:v>
      </x:c>
      <x:c r="E11" s="38" t="str">
        <x:v>Total Government Debt portfolio</x:v>
      </x:c>
      <x:c r="F11" s="38" t="str">
        <x:v>Year-end weighted-average annual interest rate</x:v>
      </x:c>
      <x:c r="G11" s="38" t="str">
        <x:v>available</x:v>
      </x:c>
      <x:c r="H11" s="38" t="str">
        <x:v>mof_monthly_debt_report_2026_07</x:v>
      </x:c>
      <x:c r="I11" s="38" t="str">
        <x:v>ATM and Interest Rate</x:v>
      </x:c>
      <x:c r="J11" s="38" t="str">
        <x:v>Weighted Average Interest Rate</x:v>
      </x:c>
      <x:c r="K11" s="38" t="str">
        <x:v>% p.a.</x:v>
      </x:c>
      <x:c r="L11" s="50" t="str">
        <x:v>Exact published weighted-average portfolio interest rate; no calculation or chart-position digitization.</x:v>
      </x:c>
      <x:c r="M11" s="44" t="n">
        <x:v>46266</x:v>
      </x:c>
    </x:row>
    <x:row r="12" ht="42" customHeight="1">
      <x:c r="A12" s="34" t="n">
        <x:v>2018</x:v>
      </x:c>
      <x:c r="B12" s="38" t="str">
        <x:v>domestic</x:v>
      </x:c>
      <x:c r="C12" s="56" t="n">
        <x:v>8.3</x:v>
      </x:c>
      <x:c r="D12" s="44" t="n">
        <x:v>43465</x:v>
      </x:c>
      <x:c r="E12" s="38" t="str">
        <x:v>Domestic Government Debt portfolio</x:v>
      </x:c>
      <x:c r="F12" s="38" t="str">
        <x:v>Year-end weighted-average annual interest rate</x:v>
      </x:c>
      <x:c r="G12" s="38" t="str">
        <x:v>available</x:v>
      </x:c>
      <x:c r="H12" s="38" t="str">
        <x:v>mof_debt_strategy_2019_2021</x:v>
      </x:c>
      <x:c r="I12" s="38" t="str">
        <x:v>Table 2: Weighted Average Interest Rates on General Government Domestic and External Debt</x:v>
      </x:c>
      <x:c r="J12" s="38" t="str">
        <x:v>Domestic Debt</x:v>
      </x:c>
      <x:c r="K12" s="38" t="str">
        <x:v>% p.a.</x:v>
      </x:c>
      <x:c r="L12" s="50" t="str">
        <x:v>Exact published weighted-average portfolio interest rate; no calculation or chart-position digitization.</x:v>
      </x:c>
      <x:c r="M12" s="44" t="n">
        <x:v>46266</x:v>
      </x:c>
    </x:row>
    <x:row r="13" ht="42" customHeight="1">
      <x:c r="A13" s="34" t="n">
        <x:v>2018</x:v>
      </x:c>
      <x:c r="B13" s="38" t="str">
        <x:v>external</x:v>
      </x:c>
      <x:c r="C13" s="56"/>
      <x:c r="D13" s="44" t="n">
        <x:v>43465</x:v>
      </x:c>
      <x:c r="E13" s="38" t="str">
        <x:v>External Government Debt portfolio</x:v>
      </x:c>
      <x:c r="F13" s="38" t="str">
        <x:v>Year-end weighted-average annual interest rate</x:v>
      </x:c>
      <x:c r="G13" s="38" t="str">
        <x:v>not_found_in_reviewed_sources</x:v>
      </x:c>
      <x:c r="H13" s="38" t="str">
        <x:v>mof_monthly_debt_report_2026_07</x:v>
      </x:c>
      <x:c r="I13" s="38" t="str">
        <x:v>Reviewed official source set</x:v>
      </x:c>
      <x:c r="J13" s="38" t="str">
        <x:v>No comparable source row</x:v>
      </x:c>
      <x:c r="K13" s="38" t="str">
        <x:v>% p.a.</x:v>
      </x:c>
      <x:c r="L13" s="50" t="str">
        <x:v>The reviewed component table excludes the Eurobond, so it is not normalized as the full External Government Debt portfolio rate.</x:v>
      </x:c>
      <x:c r="M13" s="44" t="n">
        <x:v>46266</x:v>
      </x:c>
    </x:row>
    <x:row r="14" ht="42" customHeight="1">
      <x:c r="A14" s="34" t="n">
        <x:v>2019</x:v>
      </x:c>
      <x:c r="B14" s="38" t="str">
        <x:v>total</x:v>
      </x:c>
      <x:c r="C14" s="56" t="n">
        <x:v>3.2</x:v>
      </x:c>
      <x:c r="D14" s="44" t="n">
        <x:v>43830</x:v>
      </x:c>
      <x:c r="E14" s="38" t="str">
        <x:v>Total Government Debt portfolio</x:v>
      </x:c>
      <x:c r="F14" s="38" t="str">
        <x:v>Year-end weighted-average annual interest rate</x:v>
      </x:c>
      <x:c r="G14" s="38" t="str">
        <x:v>available</x:v>
      </x:c>
      <x:c r="H14" s="38" t="str">
        <x:v>mof_monthly_debt_report_2026_07</x:v>
      </x:c>
      <x:c r="I14" s="38" t="str">
        <x:v>ATM and Interest Rate</x:v>
      </x:c>
      <x:c r="J14" s="38" t="str">
        <x:v>Weighted Average Interest Rate</x:v>
      </x:c>
      <x:c r="K14" s="38" t="str">
        <x:v>% p.a.</x:v>
      </x:c>
      <x:c r="L14" s="50" t="str">
        <x:v>Exact published weighted-average portfolio interest rate; no calculation or chart-position digitization.</x:v>
      </x:c>
      <x:c r="M14" s="44" t="n">
        <x:v>46266</x:v>
      </x:c>
    </x:row>
    <x:row r="15" ht="42" customHeight="1">
      <x:c r="A15" s="34" t="n">
        <x:v>2019</x:v>
      </x:c>
      <x:c r="B15" s="38" t="str">
        <x:v>domestic</x:v>
      </x:c>
      <x:c r="C15" s="56" t="n">
        <x:v>8.21</x:v>
      </x:c>
      <x:c r="D15" s="44" t="n">
        <x:v>43830</x:v>
      </x:c>
      <x:c r="E15" s="38" t="str">
        <x:v>Domestic Government Debt portfolio</x:v>
      </x:c>
      <x:c r="F15" s="38" t="str">
        <x:v>Year-end weighted-average annual interest rate</x:v>
      </x:c>
      <x:c r="G15" s="38" t="str">
        <x:v>available</x:v>
      </x:c>
      <x:c r="H15" s="38" t="str">
        <x:v>mof_debt_strategy_2022_2025</x:v>
      </x:c>
      <x:c r="I15" s="38" t="str">
        <x:v>Table 4.1: Weighted Average Interest Rates on the General Government Domestic and External Debt Portfolios</x:v>
      </x:c>
      <x:c r="J15" s="38" t="str">
        <x:v>Domestic Debt</x:v>
      </x:c>
      <x:c r="K15" s="38" t="str">
        <x:v>% p.a.</x:v>
      </x:c>
      <x:c r="L15" s="50" t="str">
        <x:v>Exact published weighted-average portfolio interest rate; no calculation or chart-position digitization.</x:v>
      </x:c>
      <x:c r="M15" s="44" t="n">
        <x:v>46266</x:v>
      </x:c>
    </x:row>
    <x:row r="16" ht="42" customHeight="1">
      <x:c r="A16" s="34" t="n">
        <x:v>2019</x:v>
      </x:c>
      <x:c r="B16" s="38" t="str">
        <x:v>external</x:v>
      </x:c>
      <x:c r="C16" s="56"/>
      <x:c r="D16" s="44" t="n">
        <x:v>43830</x:v>
      </x:c>
      <x:c r="E16" s="38" t="str">
        <x:v>External Government Debt portfolio</x:v>
      </x:c>
      <x:c r="F16" s="38" t="str">
        <x:v>Year-end weighted-average annual interest rate</x:v>
      </x:c>
      <x:c r="G16" s="38" t="str">
        <x:v>not_found_in_reviewed_sources</x:v>
      </x:c>
      <x:c r="H16" s="38" t="str">
        <x:v>mof_monthly_debt_report_2026_07</x:v>
      </x:c>
      <x:c r="I16" s="38" t="str">
        <x:v>Reviewed official source set</x:v>
      </x:c>
      <x:c r="J16" s="38" t="str">
        <x:v>No comparable source row</x:v>
      </x:c>
      <x:c r="K16" s="38" t="str">
        <x:v>% p.a.</x:v>
      </x:c>
      <x:c r="L16" s="50" t="str">
        <x:v>The reviewed component table excludes the Eurobond, so it is not normalized as the full External Government Debt portfolio rate.</x:v>
      </x:c>
      <x:c r="M16" s="44" t="n">
        <x:v>46266</x:v>
      </x:c>
    </x:row>
    <x:row r="17" ht="42" customHeight="1">
      <x:c r="A17" s="34" t="n">
        <x:v>2020</x:v>
      </x:c>
      <x:c r="B17" s="38" t="str">
        <x:v>total</x:v>
      </x:c>
      <x:c r="C17" s="56" t="n">
        <x:v>2.8</x:v>
      </x:c>
      <x:c r="D17" s="44" t="n">
        <x:v>44196</x:v>
      </x:c>
      <x:c r="E17" s="38" t="str">
        <x:v>Total Government Debt portfolio</x:v>
      </x:c>
      <x:c r="F17" s="38" t="str">
        <x:v>Year-end weighted-average annual interest rate</x:v>
      </x:c>
      <x:c r="G17" s="38" t="str">
        <x:v>available</x:v>
      </x:c>
      <x:c r="H17" s="38" t="str">
        <x:v>mof_monthly_debt_report_2026_07</x:v>
      </x:c>
      <x:c r="I17" s="38" t="str">
        <x:v>ATM and Interest Rate</x:v>
      </x:c>
      <x:c r="J17" s="38" t="str">
        <x:v>Weighted Average Interest Rate</x:v>
      </x:c>
      <x:c r="K17" s="38" t="str">
        <x:v>% p.a.</x:v>
      </x:c>
      <x:c r="L17" s="50" t="str">
        <x:v>Exact published weighted-average portfolio interest rate; no calculation or chart-position digitization.</x:v>
      </x:c>
      <x:c r="M17" s="44" t="n">
        <x:v>46266</x:v>
      </x:c>
    </x:row>
    <x:row r="18" ht="42" customHeight="1">
      <x:c r="A18" s="34" t="n">
        <x:v>2020</x:v>
      </x:c>
      <x:c r="B18" s="38" t="str">
        <x:v>domestic</x:v>
      </x:c>
      <x:c r="C18" s="56" t="n">
        <x:v>8.59</x:v>
      </x:c>
      <x:c r="D18" s="44" t="n">
        <x:v>44196</x:v>
      </x:c>
      <x:c r="E18" s="38" t="str">
        <x:v>Domestic Government Debt portfolio</x:v>
      </x:c>
      <x:c r="F18" s="38" t="str">
        <x:v>Year-end weighted-average annual interest rate</x:v>
      </x:c>
      <x:c r="G18" s="38" t="str">
        <x:v>available</x:v>
      </x:c>
      <x:c r="H18" s="38" t="str">
        <x:v>mof_debt_strategy_2022_2025</x:v>
      </x:c>
      <x:c r="I18" s="38" t="str">
        <x:v>Table 4.1: Weighted Average Interest Rates on the General Government Domestic and External Debt Portfolios</x:v>
      </x:c>
      <x:c r="J18" s="38" t="str">
        <x:v>Domestic Debt</x:v>
      </x:c>
      <x:c r="K18" s="38" t="str">
        <x:v>% p.a.</x:v>
      </x:c>
      <x:c r="L18" s="50" t="str">
        <x:v>Exact published weighted-average portfolio interest rate; no calculation or chart-position digitization.</x:v>
      </x:c>
      <x:c r="M18" s="44" t="n">
        <x:v>46266</x:v>
      </x:c>
    </x:row>
    <x:row r="19" ht="42" customHeight="1">
      <x:c r="A19" s="34" t="n">
        <x:v>2020</x:v>
      </x:c>
      <x:c r="B19" s="38" t="str">
        <x:v>external</x:v>
      </x:c>
      <x:c r="C19" s="56"/>
      <x:c r="D19" s="44" t="n">
        <x:v>44196</x:v>
      </x:c>
      <x:c r="E19" s="38" t="str">
        <x:v>External Government Debt portfolio</x:v>
      </x:c>
      <x:c r="F19" s="38" t="str">
        <x:v>Year-end weighted-average annual interest rate</x:v>
      </x:c>
      <x:c r="G19" s="38" t="str">
        <x:v>not_found_in_reviewed_sources</x:v>
      </x:c>
      <x:c r="H19" s="38" t="str">
        <x:v>mof_monthly_debt_report_2026_07</x:v>
      </x:c>
      <x:c r="I19" s="38" t="str">
        <x:v>Reviewed official source set</x:v>
      </x:c>
      <x:c r="J19" s="38" t="str">
        <x:v>No comparable source row</x:v>
      </x:c>
      <x:c r="K19" s="38" t="str">
        <x:v>% p.a.</x:v>
      </x:c>
      <x:c r="L19" s="50" t="str">
        <x:v>The reviewed component table excludes the Eurobond, so it is not normalized as the full External Government Debt portfolio rate.</x:v>
      </x:c>
      <x:c r="M19" s="44" t="n">
        <x:v>46266</x:v>
      </x:c>
    </x:row>
    <x:row r="20" ht="42" customHeight="1">
      <x:c r="A20" s="34" t="n">
        <x:v>2021</x:v>
      </x:c>
      <x:c r="B20" s="38" t="str">
        <x:v>total</x:v>
      </x:c>
      <x:c r="C20" s="56" t="n">
        <x:v>2.5</x:v>
      </x:c>
      <x:c r="D20" s="44" t="n">
        <x:v>44561</x:v>
      </x:c>
      <x:c r="E20" s="38" t="str">
        <x:v>Total Government Debt portfolio</x:v>
      </x:c>
      <x:c r="F20" s="38" t="str">
        <x:v>Year-end weighted-average annual interest rate</x:v>
      </x:c>
      <x:c r="G20" s="38" t="str">
        <x:v>available</x:v>
      </x:c>
      <x:c r="H20" s="38" t="str">
        <x:v>mof_monthly_debt_report_2026_07</x:v>
      </x:c>
      <x:c r="I20" s="38" t="str">
        <x:v>ATM and Interest Rate</x:v>
      </x:c>
      <x:c r="J20" s="38" t="str">
        <x:v>Weighted Average Interest Rate</x:v>
      </x:c>
      <x:c r="K20" s="38" t="str">
        <x:v>% p.a.</x:v>
      </x:c>
      <x:c r="L20" s="50" t="str">
        <x:v>Exact published weighted-average portfolio interest rate; no calculation or chart-position digitization.</x:v>
      </x:c>
      <x:c r="M20" s="44" t="n">
        <x:v>46266</x:v>
      </x:c>
    </x:row>
    <x:row r="21" ht="42" customHeight="1">
      <x:c r="A21" s="34" t="n">
        <x:v>2021</x:v>
      </x:c>
      <x:c r="B21" s="38" t="str">
        <x:v>domestic</x:v>
      </x:c>
      <x:c r="C21" s="56" t="n">
        <x:v>8.83</x:v>
      </x:c>
      <x:c r="D21" s="44" t="n">
        <x:v>44561</x:v>
      </x:c>
      <x:c r="E21" s="38" t="str">
        <x:v>Domestic Government Debt portfolio</x:v>
      </x:c>
      <x:c r="F21" s="38" t="str">
        <x:v>Year-end weighted-average annual interest rate</x:v>
      </x:c>
      <x:c r="G21" s="38" t="str">
        <x:v>available</x:v>
      </x:c>
      <x:c r="H21" s="38" t="str">
        <x:v>mof_debt_strategy_2023_2026</x:v>
      </x:c>
      <x:c r="I21" s="38" t="str">
        <x:v>Table 4.1: Weighted Average Interest Rates on the General Government Domestic and External Debt Portfolios</x:v>
      </x:c>
      <x:c r="J21" s="38" t="str">
        <x:v>Domestic Debt</x:v>
      </x:c>
      <x:c r="K21" s="38" t="str">
        <x:v>% p.a.</x:v>
      </x:c>
      <x:c r="L21" s="50" t="str">
        <x:v>Exact published weighted-average portfolio interest rate; no calculation or chart-position digitization.</x:v>
      </x:c>
      <x:c r="M21" s="44" t="n">
        <x:v>46266</x:v>
      </x:c>
    </x:row>
    <x:row r="22" ht="42" customHeight="1">
      <x:c r="A22" s="34" t="n">
        <x:v>2021</x:v>
      </x:c>
      <x:c r="B22" s="38" t="str">
        <x:v>external</x:v>
      </x:c>
      <x:c r="C22" s="56" t="n">
        <x:v>0.95</x:v>
      </x:c>
      <x:c r="D22" s="44" t="n">
        <x:v>44561</x:v>
      </x:c>
      <x:c r="E22" s="38" t="str">
        <x:v>External Government Debt portfolio</x:v>
      </x:c>
      <x:c r="F22" s="38" t="str">
        <x:v>Year-end weighted-average annual interest rate</x:v>
      </x:c>
      <x:c r="G22" s="38" t="str">
        <x:v>available</x:v>
      </x:c>
      <x:c r="H22" s="38" t="str">
        <x:v>mof_debt_strategy_2023_2026</x:v>
      </x:c>
      <x:c r="I22" s="38" t="str">
        <x:v>Table 4.1: Weighted Average Interest Rates on the General Government Domestic and External Debt Portfolios</x:v>
      </x:c>
      <x:c r="J22" s="38" t="str">
        <x:v>External Debt</x:v>
      </x:c>
      <x:c r="K22" s="38" t="str">
        <x:v>% p.a.</x:v>
      </x:c>
      <x:c r="L22" s="50" t="str">
        <x:v>Exact published weighted-average portfolio interest rate; no calculation or chart-position digitization.</x:v>
      </x:c>
      <x:c r="M22" s="44" t="n">
        <x:v>46266</x:v>
      </x:c>
    </x:row>
    <x:row r="23" ht="42" customHeight="1">
      <x:c r="A23" s="34" t="n">
        <x:v>2022</x:v>
      </x:c>
      <x:c r="B23" s="38" t="str">
        <x:v>total</x:v>
      </x:c>
      <x:c r="C23" s="56" t="n">
        <x:v>3.9</x:v>
      </x:c>
      <x:c r="D23" s="44" t="n">
        <x:v>44926</x:v>
      </x:c>
      <x:c r="E23" s="38" t="str">
        <x:v>Total Government Debt portfolio</x:v>
      </x:c>
      <x:c r="F23" s="38" t="str">
        <x:v>Year-end weighted-average annual interest rate</x:v>
      </x:c>
      <x:c r="G23" s="38" t="str">
        <x:v>available</x:v>
      </x:c>
      <x:c r="H23" s="38" t="str">
        <x:v>mof_monthly_debt_report_2026_07</x:v>
      </x:c>
      <x:c r="I23" s="38" t="str">
        <x:v>ATM and Interest Rate</x:v>
      </x:c>
      <x:c r="J23" s="38" t="str">
        <x:v>Weighted Average Interest Rate</x:v>
      </x:c>
      <x:c r="K23" s="38" t="str">
        <x:v>% p.a.</x:v>
      </x:c>
      <x:c r="L23" s="50" t="str">
        <x:v>Exact published weighted-average portfolio interest rate; no calculation or chart-position digitization.</x:v>
      </x:c>
      <x:c r="M23" s="44" t="n">
        <x:v>46266</x:v>
      </x:c>
    </x:row>
    <x:row r="24" ht="42" customHeight="1">
      <x:c r="A24" s="34" t="n">
        <x:v>2022</x:v>
      </x:c>
      <x:c r="B24" s="38" t="str">
        <x:v>domestic</x:v>
      </x:c>
      <x:c r="C24" s="56" t="n">
        <x:v>9.2</x:v>
      </x:c>
      <x:c r="D24" s="44" t="n">
        <x:v>44926</x:v>
      </x:c>
      <x:c r="E24" s="38" t="str">
        <x:v>Domestic Government Debt portfolio</x:v>
      </x:c>
      <x:c r="F24" s="38" t="str">
        <x:v>Year-end weighted-average annual interest rate</x:v>
      </x:c>
      <x:c r="G24" s="38" t="str">
        <x:v>available</x:v>
      </x:c>
      <x:c r="H24" s="38" t="str">
        <x:v>mof_debt_strategy_2023_2026</x:v>
      </x:c>
      <x:c r="I24" s="38" t="str">
        <x:v>Table 4.1: Weighted Average Interest Rates on the General Government Domestic and External Debt Portfolios</x:v>
      </x:c>
      <x:c r="J24" s="38" t="str">
        <x:v>Domestic Debt</x:v>
      </x:c>
      <x:c r="K24" s="38" t="str">
        <x:v>% p.a.</x:v>
      </x:c>
      <x:c r="L24" s="50" t="str">
        <x:v>Exact published weighted-average portfolio interest rate; no calculation or chart-position digitization.</x:v>
      </x:c>
      <x:c r="M24" s="44" t="n">
        <x:v>46266</x:v>
      </x:c>
    </x:row>
    <x:row r="25" ht="42" customHeight="1">
      <x:c r="A25" s="34" t="n">
        <x:v>2022</x:v>
      </x:c>
      <x:c r="B25" s="38" t="str">
        <x:v>external</x:v>
      </x:c>
      <x:c r="C25" s="56" t="n">
        <x:v>2.23</x:v>
      </x:c>
      <x:c r="D25" s="44" t="n">
        <x:v>44926</x:v>
      </x:c>
      <x:c r="E25" s="38" t="str">
        <x:v>External Government Debt portfolio</x:v>
      </x:c>
      <x:c r="F25" s="38" t="str">
        <x:v>Year-end weighted-average annual interest rate</x:v>
      </x:c>
      <x:c r="G25" s="38" t="str">
        <x:v>available</x:v>
      </x:c>
      <x:c r="H25" s="38" t="str">
        <x:v>mof_debt_strategy_2023_2026</x:v>
      </x:c>
      <x:c r="I25" s="38" t="str">
        <x:v>Table 4.1: Weighted Average Interest Rates on the General Government Domestic and External Debt Portfolios</x:v>
      </x:c>
      <x:c r="J25" s="38" t="str">
        <x:v>External Debt</x:v>
      </x:c>
      <x:c r="K25" s="38" t="str">
        <x:v>% p.a.</x:v>
      </x:c>
      <x:c r="L25" s="50" t="str">
        <x:v>Exact published weighted-average portfolio interest rate; no calculation or chart-position digitization.</x:v>
      </x:c>
      <x:c r="M25" s="44" t="n">
        <x:v>46266</x:v>
      </x:c>
    </x:row>
    <x:row r="26" ht="42" customHeight="1">
      <x:c r="A26" s="34" t="n">
        <x:v>2023</x:v>
      </x:c>
      <x:c r="B26" s="38" t="str">
        <x:v>total</x:v>
      </x:c>
      <x:c r="C26" s="56" t="n">
        <x:v>5</x:v>
      </x:c>
      <x:c r="D26" s="44" t="n">
        <x:v>45291</x:v>
      </x:c>
      <x:c r="E26" s="38" t="str">
        <x:v>Total Government Debt portfolio</x:v>
      </x:c>
      <x:c r="F26" s="38" t="str">
        <x:v>Year-end weighted-average annual interest rate</x:v>
      </x:c>
      <x:c r="G26" s="38" t="str">
        <x:v>available</x:v>
      </x:c>
      <x:c r="H26" s="38" t="str">
        <x:v>mof_monthly_debt_report_2026_07</x:v>
      </x:c>
      <x:c r="I26" s="38" t="str">
        <x:v>ATM and Interest Rate</x:v>
      </x:c>
      <x:c r="J26" s="38" t="str">
        <x:v>Weighted Average Interest Rate</x:v>
      </x:c>
      <x:c r="K26" s="38" t="str">
        <x:v>% p.a.</x:v>
      </x:c>
      <x:c r="L26" s="50" t="str">
        <x:v>Exact published weighted-average portfolio interest rate; no calculation or chart-position digitization.</x:v>
      </x:c>
      <x:c r="M26" s="44" t="n">
        <x:v>46266</x:v>
      </x:c>
    </x:row>
    <x:row r="27" ht="42" customHeight="1">
      <x:c r="A27" s="34" t="n">
        <x:v>2023</x:v>
      </x:c>
      <x:c r="B27" s="38" t="str">
        <x:v>domestic</x:v>
      </x:c>
      <x:c r="C27" s="56" t="n">
        <x:v>9.06</x:v>
      </x:c>
      <x:c r="D27" s="44" t="n">
        <x:v>45291</x:v>
      </x:c>
      <x:c r="E27" s="38" t="str">
        <x:v>Domestic Government Debt portfolio</x:v>
      </x:c>
      <x:c r="F27" s="38" t="str">
        <x:v>Year-end weighted-average annual interest rate</x:v>
      </x:c>
      <x:c r="G27" s="38" t="str">
        <x:v>available</x:v>
      </x:c>
      <x:c r="H27" s="38" t="str">
        <x:v>mof_debt_strategy_2025_2029</x:v>
      </x:c>
      <x:c r="I27" s="38" t="str">
        <x:v>Weighted Average Interest Rates on the Government's Domestic and External Debt Portfolio</x:v>
      </x:c>
      <x:c r="J27" s="38" t="str">
        <x:v>Domestic Debt - portfolio</x:v>
      </x:c>
      <x:c r="K27" s="38" t="str">
        <x:v>% p.a.</x:v>
      </x:c>
      <x:c r="L27" s="50" t="str">
        <x:v>Exact published weighted-average portfolio interest rate; no calculation or chart-position digitization.</x:v>
      </x:c>
      <x:c r="M27" s="44" t="n">
        <x:v>46266</x:v>
      </x:c>
    </x:row>
    <x:row r="28" ht="42" customHeight="1">
      <x:c r="A28" s="34" t="n">
        <x:v>2023</x:v>
      </x:c>
      <x:c r="B28" s="38" t="str">
        <x:v>external</x:v>
      </x:c>
      <x:c r="C28" s="56" t="n">
        <x:v>3.4</x:v>
      </x:c>
      <x:c r="D28" s="44" t="n">
        <x:v>45291</x:v>
      </x:c>
      <x:c r="E28" s="38" t="str">
        <x:v>External Government Debt portfolio</x:v>
      </x:c>
      <x:c r="F28" s="38" t="str">
        <x:v>Year-end weighted-average annual interest rate</x:v>
      </x:c>
      <x:c r="G28" s="38" t="str">
        <x:v>available</x:v>
      </x:c>
      <x:c r="H28" s="38" t="str">
        <x:v>mof_debt_strategy_2025_2029</x:v>
      </x:c>
      <x:c r="I28" s="38" t="str">
        <x:v>Weighted Average Interest Rates on the Government's Domestic and External Debt Portfolio</x:v>
      </x:c>
      <x:c r="J28" s="38" t="str">
        <x:v>External Debt - portfolio</x:v>
      </x:c>
      <x:c r="K28" s="38" t="str">
        <x:v>% p.a.</x:v>
      </x:c>
      <x:c r="L28" s="50" t="str">
        <x:v>Exact published weighted-average portfolio interest rate; no calculation or chart-position digitization.</x:v>
      </x:c>
      <x:c r="M28" s="44" t="n">
        <x:v>46266</x:v>
      </x:c>
    </x:row>
    <x:row r="29" ht="42" customHeight="1">
      <x:c r="A29" s="34" t="n">
        <x:v>2024</x:v>
      </x:c>
      <x:c r="B29" s="38" t="str">
        <x:v>total</x:v>
      </x:c>
      <x:c r="C29" s="56" t="n">
        <x:v>4.9</x:v>
      </x:c>
      <x:c r="D29" s="44" t="n">
        <x:v>45657</x:v>
      </x:c>
      <x:c r="E29" s="38" t="str">
        <x:v>Total Government Debt portfolio</x:v>
      </x:c>
      <x:c r="F29" s="38" t="str">
        <x:v>Year-end weighted-average annual interest rate</x:v>
      </x:c>
      <x:c r="G29" s="38" t="str">
        <x:v>available</x:v>
      </x:c>
      <x:c r="H29" s="38" t="str">
        <x:v>mof_monthly_debt_report_2026_07</x:v>
      </x:c>
      <x:c r="I29" s="38" t="str">
        <x:v>ATM and Interest Rate</x:v>
      </x:c>
      <x:c r="J29" s="38" t="str">
        <x:v>Weighted Average Interest Rate</x:v>
      </x:c>
      <x:c r="K29" s="38" t="str">
        <x:v>% p.a.</x:v>
      </x:c>
      <x:c r="L29" s="50" t="str">
        <x:v>Exact published weighted-average portfolio interest rate; no calculation or chart-position digitization.</x:v>
      </x:c>
      <x:c r="M29" s="44" t="n">
        <x:v>46266</x:v>
      </x:c>
    </x:row>
    <x:row r="30" ht="42" customHeight="1">
      <x:c r="A30" s="34" t="n">
        <x:v>2024</x:v>
      </x:c>
      <x:c r="B30" s="38" t="str">
        <x:v>domestic</x:v>
      </x:c>
      <x:c r="C30" s="56" t="n">
        <x:v>8.84</x:v>
      </x:c>
      <x:c r="D30" s="44" t="n">
        <x:v>45657</x:v>
      </x:c>
      <x:c r="E30" s="38" t="str">
        <x:v>Domestic Government Debt portfolio</x:v>
      </x:c>
      <x:c r="F30" s="38" t="str">
        <x:v>Year-end weighted-average annual interest rate</x:v>
      </x:c>
      <x:c r="G30" s="38" t="str">
        <x:v>available</x:v>
      </x:c>
      <x:c r="H30" s="38" t="str">
        <x:v>mof_debt_strategy_2025_2029</x:v>
      </x:c>
      <x:c r="I30" s="38" t="str">
        <x:v>Weighted Average Interest Rates on the Government's Domestic and External Debt Portfolio</x:v>
      </x:c>
      <x:c r="J30" s="38" t="str">
        <x:v>Domestic Debt - portfolio</x:v>
      </x:c>
      <x:c r="K30" s="38" t="str">
        <x:v>% p.a.</x:v>
      </x:c>
      <x:c r="L30" s="50" t="str">
        <x:v>Exact published weighted-average portfolio interest rate; no calculation or chart-position digitization.</x:v>
      </x:c>
      <x:c r="M30" s="44" t="n">
        <x:v>46266</x:v>
      </x:c>
    </x:row>
    <x:row r="31" ht="42" customHeight="1">
      <x:c r="A31" s="34" t="n">
        <x:v>2024</x:v>
      </x:c>
      <x:c r="B31" s="38" t="str">
        <x:v>external</x:v>
      </x:c>
      <x:c r="C31" s="56" t="n">
        <x:v>3.12</x:v>
      </x:c>
      <x:c r="D31" s="44" t="n">
        <x:v>45657</x:v>
      </x:c>
      <x:c r="E31" s="38" t="str">
        <x:v>External Government Debt portfolio</x:v>
      </x:c>
      <x:c r="F31" s="38" t="str">
        <x:v>Year-end weighted-average annual interest rate</x:v>
      </x:c>
      <x:c r="G31" s="38" t="str">
        <x:v>available</x:v>
      </x:c>
      <x:c r="H31" s="38" t="str">
        <x:v>mof_debt_strategy_2025_2029</x:v>
      </x:c>
      <x:c r="I31" s="38" t="str">
        <x:v>Weighted Average Interest Rates on the Government's Domestic and External Debt Portfolio</x:v>
      </x:c>
      <x:c r="J31" s="38" t="str">
        <x:v>External Debt - portfolio</x:v>
      </x:c>
      <x:c r="K31" s="38" t="str">
        <x:v>% p.a.</x:v>
      </x:c>
      <x:c r="L31" s="50" t="str">
        <x:v>Exact published weighted-average portfolio interest rate; no calculation or chart-position digitization.</x:v>
      </x:c>
      <x:c r="M31" s="44" t="n">
        <x:v>46266</x:v>
      </x:c>
    </x:row>
    <x:row r="32" ht="42" customHeight="1">
      <x:c r="A32" s="34" t="n">
        <x:v>2025</x:v>
      </x:c>
      <x:c r="B32" s="38" t="str">
        <x:v>total</x:v>
      </x:c>
      <x:c r="C32" s="56" t="n">
        <x:v>4.7</x:v>
      </x:c>
      <x:c r="D32" s="44" t="n">
        <x:v>46022</x:v>
      </x:c>
      <x:c r="E32" s="38" t="str">
        <x:v>Total Government Debt portfolio</x:v>
      </x:c>
      <x:c r="F32" s="38" t="str">
        <x:v>Year-end weighted-average annual interest rate</x:v>
      </x:c>
      <x:c r="G32" s="38" t="str">
        <x:v>available</x:v>
      </x:c>
      <x:c r="H32" s="38" t="str">
        <x:v>mof_monthly_debt_report_2026_07</x:v>
      </x:c>
      <x:c r="I32" s="38" t="str">
        <x:v>ATM and Interest Rate</x:v>
      </x:c>
      <x:c r="J32" s="38" t="str">
        <x:v>Weighted Average Interest Rate</x:v>
      </x:c>
      <x:c r="K32" s="38" t="str">
        <x:v>% p.a.</x:v>
      </x:c>
      <x:c r="L32" s="50" t="str">
        <x:v>Exact published weighted-average portfolio interest rate; no calculation or chart-position digitization.</x:v>
      </x:c>
      <x:c r="M32" s="44" t="n">
        <x:v>46266</x:v>
      </x:c>
    </x:row>
    <x:row r="33" ht="42" customHeight="1">
      <x:c r="A33" s="34" t="n">
        <x:v>2025</x:v>
      </x:c>
      <x:c r="B33" s="38" t="str">
        <x:v>domestic</x:v>
      </x:c>
      <x:c r="C33" s="56"/>
      <x:c r="D33" s="44" t="n">
        <x:v>46022</x:v>
      </x:c>
      <x:c r="E33" s="38" t="str">
        <x:v>Domestic Government Debt portfolio</x:v>
      </x:c>
      <x:c r="F33" s="38" t="str">
        <x:v>Year-end weighted-average annual interest rate</x:v>
      </x:c>
      <x:c r="G33" s="38" t="str">
        <x:v>not_found_in_reviewed_sources</x:v>
      </x:c>
      <x:c r="H33" s="38" t="str">
        <x:v>mof_monthly_debt_report_2026_07</x:v>
      </x:c>
      <x:c r="I33" s="38" t="str">
        <x:v>Reviewed official source set</x:v>
      </x:c>
      <x:c r="J33" s="38" t="str">
        <x:v>No comparable source row</x:v>
      </x:c>
      <x:c r="K33" s="38" t="str">
        <x:v>% p.a.</x:v>
      </x:c>
      <x:c r="L33" s="50" t="str">
        <x:v>No exact comparable year-end component rate was found in the reviewed official sources; no estimate.</x:v>
      </x:c>
      <x:c r="M33" s="44" t="n">
        <x:v>46266</x:v>
      </x:c>
    </x:row>
    <x:row r="34" ht="42" customHeight="1">
      <x:c r="A34" s="35" t="n">
        <x:v>2025</x:v>
      </x:c>
      <x:c r="B34" s="39" t="str">
        <x:v>external</x:v>
      </x:c>
      <x:c r="C34" s="57"/>
      <x:c r="D34" s="45" t="n">
        <x:v>46022</x:v>
      </x:c>
      <x:c r="E34" s="39" t="str">
        <x:v>External Government Debt portfolio</x:v>
      </x:c>
      <x:c r="F34" s="39" t="str">
        <x:v>Year-end weighted-average annual interest rate</x:v>
      </x:c>
      <x:c r="G34" s="39" t="str">
        <x:v>not_found_in_reviewed_sources</x:v>
      </x:c>
      <x:c r="H34" s="39" t="str">
        <x:v>mof_monthly_debt_report_2026_07</x:v>
      </x:c>
      <x:c r="I34" s="39" t="str">
        <x:v>Reviewed official source set</x:v>
      </x:c>
      <x:c r="J34" s="39" t="str">
        <x:v>No comparable source row</x:v>
      </x:c>
      <x:c r="K34" s="39" t="str">
        <x:v>% p.a.</x:v>
      </x:c>
      <x:c r="L34" s="51" t="str">
        <x:v>No exact comparable year-end component rate was found in the reviewed official sources; no estimate.</x:v>
      </x:c>
      <x:c r="M34" s="45" t="n">
        <x:v>46266</x:v>
      </x:c>
    </x:row>
  </x:sheetData>
  <x:pageMargins left="0.7" right="0.7" top="0.75" bottom="0.75" header="0.3" footer="0.3"/>
  <x:tableParts count="1">
    <x:tablePart xmlns:r="http://schemas.openxmlformats.org/officeDocument/2006/relationships" r:id="R057860cd4b72495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18" hidden="0" customWidth="1"/>
    <x:col min="8" max="8" width="34" hidden="0" customWidth="1"/>
    <x:col min="9" max="9" width="36" hidden="0" customWidth="1"/>
    <x:col min="10" max="10" width="36" hidden="0" customWidth="1"/>
    <x:col min="11" max="11" width="18" hidden="0" customWidth="1"/>
    <x:col min="12" max="12" width="58" hidden="0" customWidth="1"/>
    <x:col min="13" max="13" width="34" hidden="0" customWidth="1"/>
    <x:col min="14" max="14" width="14" hidden="0" customWidth="1"/>
  </x:cols>
  <x:sheetData>
    <x:row r="1" ht="48" customHeight="1">
      <x:c r="A1" s="29" t="str">
        <x:v>year</x:v>
      </x:c>
      <x:c r="B1" s="36" t="str">
        <x:v>debt_scope</x:v>
      </x:c>
      <x:c r="C1" s="29" t="str">
        <x:v>principal_paid_million_gel</x:v>
      </x:c>
      <x:c r="D1" s="29" t="str">
        <x:v>interest_paid_million_gel</x:v>
      </x:c>
      <x:c r="E1" s="29" t="str">
        <x:v>principal_paid_gel</x:v>
      </x:c>
      <x:c r="F1" s="29" t="str">
        <x:v>interest_paid_gel</x:v>
      </x:c>
      <x:c r="G1" s="36" t="str">
        <x:v>status</x:v>
      </x:c>
      <x:c r="H1" s="36" t="str">
        <x:v>source_id</x:v>
      </x:c>
      <x:c r="I1" s="36" t="str">
        <x:v>source_table</x:v>
      </x:c>
      <x:c r="J1" s="36" t="str">
        <x:v>source_row_label</x:v>
      </x:c>
      <x:c r="K1" s="36" t="str">
        <x:v>source_unit</x:v>
      </x:c>
      <x:c r="L1" s="36" t="str">
        <x:v>transformation</x:v>
      </x:c>
      <x:c r="M1" s="36" t="str">
        <x:v>methodology_note_id</x:v>
      </x:c>
      <x:c r="N1" s="29" t="str">
        <x:v>last_reviewed_at</x:v>
      </x:c>
    </x:row>
    <x:row r="2" ht="38" customHeight="1">
      <x:c r="A2" s="33" t="n">
        <x:v>2013</x:v>
      </x:c>
      <x:c r="B2" s="37" t="str">
        <x:v>total</x:v>
      </x:c>
      <x:c r="C2" s="40" t="n">
        <x:v>692.2</x:v>
      </x:c>
      <x:c r="D2" s="40" t="n">
        <x:v>232.9</x:v>
      </x:c>
      <x:c r="E2" s="33" t="n">
        <x:v>692200000</x:v>
      </x:c>
      <x:c r="F2" s="33" t="n">
        <x:v>232900000</x:v>
      </x:c>
      <x:c r="G2" s="37" t="str">
        <x:v>actual</x:v>
      </x:c>
      <x:c r="H2" s="37" t="str">
        <x:v>mof_public_debt_bulletin_n25</x:v>
      </x:c>
      <x:c r="I2" s="37" t="str">
        <x:v>Derived normalized components</x:v>
      </x:c>
      <x:c r="J2" s="37" t="str">
        <x:v>Domestic Government Debt + External Government Debt</x:v>
      </x:c>
      <x:c r="K2" s="37" t="str">
        <x:v>Million GEL</x:v>
      </x:c>
      <x:c r="L2" s="49" t="str">
        <x:v>Exact sum of the same-year normalized domestic and external Government Debt principal and interest rows; see component rows for complete source provenance.</x:v>
      </x:c>
      <x:c r="M2" s="37"/>
      <x:c r="N2" s="43" t="n">
        <x:v>46266</x:v>
      </x:c>
    </x:row>
    <x:row r="3" ht="38" customHeight="1">
      <x:c r="A3" s="34" t="n">
        <x:v>2013</x:v>
      </x:c>
      <x:c r="B3" s="38" t="str">
        <x:v>domestic</x:v>
      </x:c>
      <x:c r="C3" s="41" t="n">
        <x:v>261.8</x:v>
      </x:c>
      <x:c r="D3" s="41" t="n">
        <x:v>98.6</x:v>
      </x:c>
      <x:c r="E3" s="34" t="n">
        <x:v>261800000</x:v>
      </x:c>
      <x:c r="F3" s="34" t="n">
        <x:v>98600000</x:v>
      </x:c>
      <x:c r="G3" s="38" t="str">
        <x:v>actual</x:v>
      </x:c>
      <x:c r="H3" s="38" t="str">
        <x:v>mof_public_debt_bulletin_n25</x:v>
      </x:c>
      <x:c r="I3" s="38" t="str">
        <x:v>12. Debt Service</x:v>
      </x:c>
      <x:c r="J3" s="38" t="str">
        <x:v>PRINCIPAL / INTEREST</x:v>
      </x:c>
      <x:c r="K3" s="38" t="str">
        <x:v>Million GEL</x:v>
      </x:c>
      <x:c r="L3" s="50" t="str">
        <x:v>Published Government Debt principal and interest selected from the approved source row; no estimate.</x:v>
      </x:c>
      <x:c r="M3" s="38"/>
      <x:c r="N3" s="44" t="n">
        <x:v>46266</x:v>
      </x:c>
    </x:row>
    <x:row r="4" ht="38" customHeight="1">
      <x:c r="A4" s="34" t="n">
        <x:v>2013</x:v>
      </x:c>
      <x:c r="B4" s="38" t="str">
        <x:v>external</x:v>
      </x:c>
      <x:c r="C4" s="41" t="n">
        <x:v>430.4</x:v>
      </x:c>
      <x:c r="D4" s="41" t="n">
        <x:v>134.3</x:v>
      </x:c>
      <x:c r="E4" s="34" t="n">
        <x:v>430400000</x:v>
      </x:c>
      <x:c r="F4" s="34" t="n">
        <x:v>134300000</x:v>
      </x:c>
      <x:c r="G4" s="38" t="str">
        <x:v>actual</x:v>
      </x:c>
      <x:c r="H4" s="38" t="str">
        <x:v>mof_public_debt_bulletin_n7</x:v>
      </x:c>
      <x:c r="I4" s="38" t="str">
        <x:v>17. NET FLOWS &amp; NET TRANSFERS ON PUBLIC DEBT</x:v>
      </x:c>
      <x:c r="J4" s="38" t="str">
        <x:v>o/w Government External Debt</x:v>
      </x:c>
      <x:c r="K4" s="38" t="str">
        <x:v>Million GEL</x:v>
      </x:c>
      <x:c r="L4" s="50" t="str">
        <x:v>Published Government Debt principal and interest selected from the approved source row; no estimate.</x:v>
      </x:c>
      <x:c r="M4" s="38"/>
      <x:c r="N4" s="44" t="n">
        <x:v>46266</x:v>
      </x:c>
    </x:row>
    <x:row r="5" ht="38" customHeight="1">
      <x:c r="A5" s="34" t="n">
        <x:v>2014</x:v>
      </x:c>
      <x:c r="B5" s="38" t="str">
        <x:v>total</x:v>
      </x:c>
      <x:c r="C5" s="41" t="n">
        <x:v>837.8</x:v>
      </x:c>
      <x:c r="D5" s="41" t="n">
        <x:v>244.7</x:v>
      </x:c>
      <x:c r="E5" s="34" t="n">
        <x:v>837800000</x:v>
      </x:c>
      <x:c r="F5" s="34" t="n">
        <x:v>244700000</x:v>
      </x:c>
      <x:c r="G5" s="38" t="str">
        <x:v>actual</x:v>
      </x:c>
      <x:c r="H5" s="38" t="str">
        <x:v>mof_public_debt_bulletin_n25</x:v>
      </x:c>
      <x:c r="I5" s="38" t="str">
        <x:v>Derived normalized components</x:v>
      </x:c>
      <x:c r="J5" s="38" t="str">
        <x:v>Domestic Government Debt + External Government Debt</x:v>
      </x:c>
      <x:c r="K5" s="38" t="str">
        <x:v>Million GEL</x:v>
      </x:c>
      <x:c r="L5" s="50" t="str">
        <x:v>Exact sum of the same-year normalized domestic and external Government Debt principal and interest rows; see component rows for complete source provenance.</x:v>
      </x:c>
      <x:c r="M5" s="38"/>
      <x:c r="N5" s="44" t="n">
        <x:v>46266</x:v>
      </x:c>
    </x:row>
    <x:row r="6" ht="38" customHeight="1">
      <x:c r="A6" s="34" t="n">
        <x:v>2014</x:v>
      </x:c>
      <x:c r="B6" s="38" t="str">
        <x:v>domestic</x:v>
      </x:c>
      <x:c r="C6" s="41" t="n">
        <x:v>338.3</x:v>
      </x:c>
      <x:c r="D6" s="41" t="n">
        <x:v>105.2</x:v>
      </x:c>
      <x:c r="E6" s="34" t="n">
        <x:v>338300000</x:v>
      </x:c>
      <x:c r="F6" s="34" t="n">
        <x:v>105200000</x:v>
      </x:c>
      <x:c r="G6" s="38" t="str">
        <x:v>actual</x:v>
      </x:c>
      <x:c r="H6" s="38" t="str">
        <x:v>mof_public_debt_bulletin_n25</x:v>
      </x:c>
      <x:c r="I6" s="38" t="str">
        <x:v>12. Debt Service</x:v>
      </x:c>
      <x:c r="J6" s="38" t="str">
        <x:v>PRINCIPAL / INTEREST</x:v>
      </x:c>
      <x:c r="K6" s="38" t="str">
        <x:v>Million GEL</x:v>
      </x:c>
      <x:c r="L6" s="50" t="str">
        <x:v>Published Government Debt principal and interest selected from the approved source row; no estimate.</x:v>
      </x:c>
      <x:c r="M6" s="38"/>
      <x:c r="N6" s="44" t="n">
        <x:v>46266</x:v>
      </x:c>
    </x:row>
    <x:row r="7" ht="38" customHeight="1">
      <x:c r="A7" s="34" t="n">
        <x:v>2014</x:v>
      </x:c>
      <x:c r="B7" s="38" t="str">
        <x:v>external</x:v>
      </x:c>
      <x:c r="C7" s="41" t="n">
        <x:v>499.5</x:v>
      </x:c>
      <x:c r="D7" s="41" t="n">
        <x:v>139.5</x:v>
      </x:c>
      <x:c r="E7" s="34" t="n">
        <x:v>499500000</x:v>
      </x:c>
      <x:c r="F7" s="34" t="n">
        <x:v>139500000</x:v>
      </x:c>
      <x:c r="G7" s="38" t="str">
        <x:v>actual</x:v>
      </x:c>
      <x:c r="H7" s="38" t="str">
        <x:v>mof_public_debt_bulletin_n7</x:v>
      </x:c>
      <x:c r="I7" s="38" t="str">
        <x:v>17. NET FLOWS &amp; NET TRANSFERS ON PUBLIC DEBT</x:v>
      </x:c>
      <x:c r="J7" s="38" t="str">
        <x:v>o/w Government External Debt</x:v>
      </x:c>
      <x:c r="K7" s="38" t="str">
        <x:v>Million GEL</x:v>
      </x:c>
      <x:c r="L7" s="50" t="str">
        <x:v>Published Government Debt principal and interest selected from the approved source row; no estimate.</x:v>
      </x:c>
      <x:c r="M7" s="38"/>
      <x:c r="N7" s="44" t="n">
        <x:v>46266</x:v>
      </x:c>
    </x:row>
    <x:row r="8" ht="38" customHeight="1">
      <x:c r="A8" s="34" t="n">
        <x:v>2015</x:v>
      </x:c>
      <x:c r="B8" s="38" t="str">
        <x:v>total</x:v>
      </x:c>
      <x:c r="C8" s="41" t="n">
        <x:v>901.6</x:v>
      </x:c>
      <x:c r="D8" s="41" t="n">
        <x:v>326.6</x:v>
      </x:c>
      <x:c r="E8" s="34" t="n">
        <x:v>901600000</x:v>
      </x:c>
      <x:c r="F8" s="34" t="n">
        <x:v>326600000</x:v>
      </x:c>
      <x:c r="G8" s="38" t="str">
        <x:v>actual</x:v>
      </x:c>
      <x:c r="H8" s="38" t="str">
        <x:v>mof_public_debt_bulletin_n25</x:v>
      </x:c>
      <x:c r="I8" s="38" t="str">
        <x:v>Derived normalized components</x:v>
      </x:c>
      <x:c r="J8" s="38" t="str">
        <x:v>Domestic Government Debt + External Government Debt</x:v>
      </x:c>
      <x:c r="K8" s="38" t="str">
        <x:v>Million GEL</x:v>
      </x:c>
      <x:c r="L8" s="50" t="str">
        <x:v>Exact sum of the same-year normalized domestic and external Government Debt principal and interest rows; see component rows for complete source provenance.</x:v>
      </x:c>
      <x:c r="M8" s="38"/>
      <x:c r="N8" s="44" t="n">
        <x:v>46266</x:v>
      </x:c>
    </x:row>
    <x:row r="9" ht="38" customHeight="1">
      <x:c r="A9" s="34" t="n">
        <x:v>2015</x:v>
      </x:c>
      <x:c r="B9" s="38" t="str">
        <x:v>domestic</x:v>
      </x:c>
      <x:c r="C9" s="41" t="n">
        <x:v>532.1</x:v>
      </x:c>
      <x:c r="D9" s="41" t="n">
        <x:v>152.3</x:v>
      </x:c>
      <x:c r="E9" s="34" t="n">
        <x:v>532100000</x:v>
      </x:c>
      <x:c r="F9" s="34" t="n">
        <x:v>152300000</x:v>
      </x:c>
      <x:c r="G9" s="38" t="str">
        <x:v>actual</x:v>
      </x:c>
      <x:c r="H9" s="38" t="str">
        <x:v>mof_public_debt_bulletin_n25</x:v>
      </x:c>
      <x:c r="I9" s="38" t="str">
        <x:v>12. Debt Service</x:v>
      </x:c>
      <x:c r="J9" s="38" t="str">
        <x:v>PRINCIPAL / INTEREST</x:v>
      </x:c>
      <x:c r="K9" s="38" t="str">
        <x:v>Million GEL</x:v>
      </x:c>
      <x:c r="L9" s="50" t="str">
        <x:v>Published Government Debt principal and interest selected from the approved source row; no estimate.</x:v>
      </x:c>
      <x:c r="M9" s="38"/>
      <x:c r="N9" s="44" t="n">
        <x:v>46266</x:v>
      </x:c>
    </x:row>
    <x:row r="10" ht="38" customHeight="1">
      <x:c r="A10" s="34" t="n">
        <x:v>2015</x:v>
      </x:c>
      <x:c r="B10" s="38" t="str">
        <x:v>external</x:v>
      </x:c>
      <x:c r="C10" s="41" t="n">
        <x:v>369.5</x:v>
      </x:c>
      <x:c r="D10" s="41" t="n">
        <x:v>174.3</x:v>
      </x:c>
      <x:c r="E10" s="34" t="n">
        <x:v>369500000</x:v>
      </x:c>
      <x:c r="F10" s="34" t="n">
        <x:v>174300000</x:v>
      </x:c>
      <x:c r="G10" s="38" t="str">
        <x:v>actual</x:v>
      </x:c>
      <x:c r="H10" s="38" t="str">
        <x:v>mof_public_debt_bulletin_n7</x:v>
      </x:c>
      <x:c r="I10" s="38" t="str">
        <x:v>17. NET FLOWS &amp; NET TRANSFERS ON PUBLIC DEBT</x:v>
      </x:c>
      <x:c r="J10" s="38" t="str">
        <x:v>o/w Government External Debt</x:v>
      </x:c>
      <x:c r="K10" s="38" t="str">
        <x:v>Million GEL</x:v>
      </x:c>
      <x:c r="L10" s="50" t="str">
        <x:v>Published Government Debt principal and interest selected from the approved source row; no estimate.</x:v>
      </x:c>
      <x:c r="M10" s="38"/>
      <x:c r="N10" s="44" t="n">
        <x:v>46266</x:v>
      </x:c>
    </x:row>
    <x:row r="11" ht="38" customHeight="1">
      <x:c r="A11" s="34" t="n">
        <x:v>2016</x:v>
      </x:c>
      <x:c r="B11" s="38" t="str">
        <x:v>total</x:v>
      </x:c>
      <x:c r="C11" s="41" t="n">
        <x:v>1082.4</x:v>
      </x:c>
      <x:c r="D11" s="41" t="n">
        <x:v>397.6</x:v>
      </x:c>
      <x:c r="E11" s="34" t="n">
        <x:v>1082400000</x:v>
      </x:c>
      <x:c r="F11" s="34" t="n">
        <x:v>397600000</x:v>
      </x:c>
      <x:c r="G11" s="38" t="str">
        <x:v>actual</x:v>
      </x:c>
      <x:c r="H11" s="38" t="str">
        <x:v>mof_public_debt_bulletin_n25</x:v>
      </x:c>
      <x:c r="I11" s="38" t="str">
        <x:v>Derived normalized components</x:v>
      </x:c>
      <x:c r="J11" s="38" t="str">
        <x:v>Domestic Government Debt + External Government Debt</x:v>
      </x:c>
      <x:c r="K11" s="38" t="str">
        <x:v>Million GEL</x:v>
      </x:c>
      <x:c r="L11" s="50" t="str">
        <x:v>Exact sum of the same-year normalized domestic and external Government Debt principal and interest rows; see component rows for complete source provenance.</x:v>
      </x:c>
      <x:c r="M11" s="38"/>
      <x:c r="N11" s="44" t="n">
        <x:v>46266</x:v>
      </x:c>
    </x:row>
    <x:row r="12" ht="38" customHeight="1">
      <x:c r="A12" s="34" t="n">
        <x:v>2016</x:v>
      </x:c>
      <x:c r="B12" s="38" t="str">
        <x:v>domestic</x:v>
      </x:c>
      <x:c r="C12" s="41" t="n">
        <x:v>774.7</x:v>
      </x:c>
      <x:c r="D12" s="41" t="n">
        <x:v>202.6</x:v>
      </x:c>
      <x:c r="E12" s="34" t="n">
        <x:v>774700000</x:v>
      </x:c>
      <x:c r="F12" s="34" t="n">
        <x:v>202600000</x:v>
      </x:c>
      <x:c r="G12" s="38" t="str">
        <x:v>actual</x:v>
      </x:c>
      <x:c r="H12" s="38" t="str">
        <x:v>mof_public_debt_bulletin_n25</x:v>
      </x:c>
      <x:c r="I12" s="38" t="str">
        <x:v>12. Debt Service</x:v>
      </x:c>
      <x:c r="J12" s="38" t="str">
        <x:v>PRINCIPAL / INTEREST</x:v>
      </x:c>
      <x:c r="K12" s="38" t="str">
        <x:v>Million GEL</x:v>
      </x:c>
      <x:c r="L12" s="50" t="str">
        <x:v>Published Government Debt principal and interest selected from the approved source row; no estimate.</x:v>
      </x:c>
      <x:c r="M12" s="38"/>
      <x:c r="N12" s="44" t="n">
        <x:v>46266</x:v>
      </x:c>
    </x:row>
    <x:row r="13" ht="38" customHeight="1">
      <x:c r="A13" s="34" t="n">
        <x:v>2016</x:v>
      </x:c>
      <x:c r="B13" s="38" t="str">
        <x:v>external</x:v>
      </x:c>
      <x:c r="C13" s="41" t="n">
        <x:v>307.7</x:v>
      </x:c>
      <x:c r="D13" s="41" t="n">
        <x:v>195</x:v>
      </x:c>
      <x:c r="E13" s="34" t="n">
        <x:v>307700000</x:v>
      </x:c>
      <x:c r="F13" s="34" t="n">
        <x:v>195000000</x:v>
      </x:c>
      <x:c r="G13" s="38" t="str">
        <x:v>actual</x:v>
      </x:c>
      <x:c r="H13" s="38" t="str">
        <x:v>mof_public_debt_bulletin_n7</x:v>
      </x:c>
      <x:c r="I13" s="38" t="str">
        <x:v>17. NET FLOWS &amp; NET TRANSFERS ON PUBLIC DEBT</x:v>
      </x:c>
      <x:c r="J13" s="38" t="str">
        <x:v>o/w Government External Debt</x:v>
      </x:c>
      <x:c r="K13" s="38" t="str">
        <x:v>Million GEL</x:v>
      </x:c>
      <x:c r="L13" s="50" t="str">
        <x:v>Published Government Debt principal and interest selected from the approved source row; no estimate.</x:v>
      </x:c>
      <x:c r="M13" s="38"/>
      <x:c r="N13" s="44" t="n">
        <x:v>46266</x:v>
      </x:c>
    </x:row>
    <x:row r="14" ht="38" customHeight="1">
      <x:c r="A14" s="34" t="n">
        <x:v>2017</x:v>
      </x:c>
      <x:c r="B14" s="38" t="str">
        <x:v>total</x:v>
      </x:c>
      <x:c r="C14" s="41" t="n">
        <x:v>1511.3</x:v>
      </x:c>
      <x:c r="D14" s="41" t="n">
        <x:v>476.6</x:v>
      </x:c>
      <x:c r="E14" s="34" t="n">
        <x:v>1511300000</x:v>
      </x:c>
      <x:c r="F14" s="34" t="n">
        <x:v>476600000</x:v>
      </x:c>
      <x:c r="G14" s="38" t="str">
        <x:v>actual</x:v>
      </x:c>
      <x:c r="H14" s="38" t="str">
        <x:v>mof_public_debt_bulletin_n25</x:v>
      </x:c>
      <x:c r="I14" s="38" t="str">
        <x:v>Derived normalized components</x:v>
      </x:c>
      <x:c r="J14" s="38" t="str">
        <x:v>Domestic Government Debt + External Government Debt</x:v>
      </x:c>
      <x:c r="K14" s="38" t="str">
        <x:v>Million GEL</x:v>
      </x:c>
      <x:c r="L14" s="50" t="str">
        <x:v>Exact sum of the same-year normalized domestic and external Government Debt principal and interest rows; see component rows for complete source provenance.</x:v>
      </x:c>
      <x:c r="M14" s="38"/>
      <x:c r="N14" s="44" t="n">
        <x:v>46266</x:v>
      </x:c>
    </x:row>
    <x:row r="15" ht="38" customHeight="1">
      <x:c r="A15" s="34" t="n">
        <x:v>2017</x:v>
      </x:c>
      <x:c r="B15" s="38" t="str">
        <x:v>domestic</x:v>
      </x:c>
      <x:c r="C15" s="41" t="n">
        <x:v>1083.5</x:v>
      </x:c>
      <x:c r="D15" s="41" t="n">
        <x:v>239.1</x:v>
      </x:c>
      <x:c r="E15" s="34" t="n">
        <x:v>1083500000</x:v>
      </x:c>
      <x:c r="F15" s="34" t="n">
        <x:v>239100000</x:v>
      </x:c>
      <x:c r="G15" s="38" t="str">
        <x:v>actual</x:v>
      </x:c>
      <x:c r="H15" s="38" t="str">
        <x:v>mof_public_debt_bulletin_n25</x:v>
      </x:c>
      <x:c r="I15" s="38" t="str">
        <x:v>12. Debt Service</x:v>
      </x:c>
      <x:c r="J15" s="38" t="str">
        <x:v>PRINCIPAL / INTEREST</x:v>
      </x:c>
      <x:c r="K15" s="38" t="str">
        <x:v>Million GEL</x:v>
      </x:c>
      <x:c r="L15" s="50" t="str">
        <x:v>Published Government Debt principal and interest selected from the approved source row; no estimate.</x:v>
      </x:c>
      <x:c r="M15" s="38"/>
      <x:c r="N15" s="44" t="n">
        <x:v>46266</x:v>
      </x:c>
    </x:row>
    <x:row r="16" ht="38" customHeight="1">
      <x:c r="A16" s="34" t="n">
        <x:v>2017</x:v>
      </x:c>
      <x:c r="B16" s="38" t="str">
        <x:v>external</x:v>
      </x:c>
      <x:c r="C16" s="41" t="n">
        <x:v>427.8</x:v>
      </x:c>
      <x:c r="D16" s="41" t="n">
        <x:v>237.5</x:v>
      </x:c>
      <x:c r="E16" s="34" t="n">
        <x:v>427800000</x:v>
      </x:c>
      <x:c r="F16" s="34" t="n">
        <x:v>237500000</x:v>
      </x:c>
      <x:c r="G16" s="38" t="str">
        <x:v>actual</x:v>
      </x:c>
      <x:c r="H16" s="38" t="str">
        <x:v>mof_public_debt_bulletin_n13</x:v>
      </x:c>
      <x:c r="I16" s="38" t="str">
        <x:v>17. NET FLOWS &amp; NET TRANSFERS ON PUBLIC DEBT</x:v>
      </x:c>
      <x:c r="J16" s="38" t="str">
        <x:v>o/w Government External Debt</x:v>
      </x:c>
      <x:c r="K16" s="38" t="str">
        <x:v>Million GEL</x:v>
      </x:c>
      <x:c r="L16" s="50" t="str">
        <x:v>Published Government Debt principal and interest selected from the approved source row; no estimate.</x:v>
      </x:c>
      <x:c r="M16" s="38"/>
      <x:c r="N16" s="44" t="n">
        <x:v>46266</x:v>
      </x:c>
    </x:row>
    <x:row r="17" ht="38" customHeight="1">
      <x:c r="A17" s="34" t="n">
        <x:v>2018</x:v>
      </x:c>
      <x:c r="B17" s="38" t="str">
        <x:v>total</x:v>
      </x:c>
      <x:c r="C17" s="41" t="n">
        <x:v>1966.4</x:v>
      </x:c>
      <x:c r="D17" s="41" t="n">
        <x:v>513</x:v>
      </x:c>
      <x:c r="E17" s="34" t="n">
        <x:v>1966400000</x:v>
      </x:c>
      <x:c r="F17" s="34" t="n">
        <x:v>513000000</x:v>
      </x:c>
      <x:c r="G17" s="38" t="str">
        <x:v>actual</x:v>
      </x:c>
      <x:c r="H17" s="38" t="str">
        <x:v>mof_public_debt_bulletin_n25</x:v>
      </x:c>
      <x:c r="I17" s="38" t="str">
        <x:v>Derived normalized components</x:v>
      </x:c>
      <x:c r="J17" s="38" t="str">
        <x:v>Domestic Government Debt + External Government Debt</x:v>
      </x:c>
      <x:c r="K17" s="38" t="str">
        <x:v>Million GEL</x:v>
      </x:c>
      <x:c r="L17" s="50" t="str">
        <x:v>Exact sum of the same-year normalized domestic and external Government Debt principal and interest rows; see component rows for complete source provenance.</x:v>
      </x:c>
      <x:c r="M17" s="38"/>
      <x:c r="N17" s="44" t="n">
        <x:v>46266</x:v>
      </x:c>
    </x:row>
    <x:row r="18" ht="38" customHeight="1">
      <x:c r="A18" s="34" t="n">
        <x:v>2018</x:v>
      </x:c>
      <x:c r="B18" s="38" t="str">
        <x:v>domestic</x:v>
      </x:c>
      <x:c r="C18" s="41" t="n">
        <x:v>1251.2</x:v>
      </x:c>
      <x:c r="D18" s="41" t="n">
        <x:v>244.3</x:v>
      </x:c>
      <x:c r="E18" s="34" t="n">
        <x:v>1251200000</x:v>
      </x:c>
      <x:c r="F18" s="34" t="n">
        <x:v>244300000</x:v>
      </x:c>
      <x:c r="G18" s="38" t="str">
        <x:v>actual</x:v>
      </x:c>
      <x:c r="H18" s="38" t="str">
        <x:v>mof_public_debt_bulletin_n25</x:v>
      </x:c>
      <x:c r="I18" s="38" t="str">
        <x:v>12. Debt Service</x:v>
      </x:c>
      <x:c r="J18" s="38" t="str">
        <x:v>PRINCIPAL / INTEREST</x:v>
      </x:c>
      <x:c r="K18" s="38" t="str">
        <x:v>Million GEL</x:v>
      </x:c>
      <x:c r="L18" s="50" t="str">
        <x:v>Published Government Debt principal and interest selected from the approved source row; no estimate.</x:v>
      </x:c>
      <x:c r="M18" s="38"/>
      <x:c r="N18" s="44" t="n">
        <x:v>46266</x:v>
      </x:c>
    </x:row>
    <x:row r="19" ht="38" customHeight="1">
      <x:c r="A19" s="34" t="n">
        <x:v>2018</x:v>
      </x:c>
      <x:c r="B19" s="38" t="str">
        <x:v>external</x:v>
      </x:c>
      <x:c r="C19" s="41" t="n">
        <x:v>715.2</x:v>
      </x:c>
      <x:c r="D19" s="41" t="n">
        <x:v>268.7</x:v>
      </x:c>
      <x:c r="E19" s="34" t="n">
        <x:v>715200000</x:v>
      </x:c>
      <x:c r="F19" s="34" t="n">
        <x:v>268700000</x:v>
      </x:c>
      <x:c r="G19" s="38" t="str">
        <x:v>actual</x:v>
      </x:c>
      <x:c r="H19" s="38" t="str">
        <x:v>mof_public_debt_bulletin_n13</x:v>
      </x:c>
      <x:c r="I19" s="38" t="str">
        <x:v>17. NET FLOWS &amp; NET TRANSFERS ON PUBLIC DEBT</x:v>
      </x:c>
      <x:c r="J19" s="38" t="str">
        <x:v>o/w Government External Debt</x:v>
      </x:c>
      <x:c r="K19" s="38" t="str">
        <x:v>Million GEL</x:v>
      </x:c>
      <x:c r="L19" s="50" t="str">
        <x:v>Published Government Debt principal and interest selected from the approved source row; no estimate.</x:v>
      </x:c>
      <x:c r="M19" s="38"/>
      <x:c r="N19" s="44" t="n">
        <x:v>46266</x:v>
      </x:c>
    </x:row>
    <x:row r="20" ht="38" customHeight="1">
      <x:c r="A20" s="34" t="n">
        <x:v>2019</x:v>
      </x:c>
      <x:c r="B20" s="38" t="str">
        <x:v>total</x:v>
      </x:c>
      <x:c r="C20" s="41" t="n">
        <x:v>2296.75</x:v>
      </x:c>
      <x:c r="D20" s="41" t="n">
        <x:v>604.9</x:v>
      </x:c>
      <x:c r="E20" s="34" t="n">
        <x:v>2296750000</x:v>
      </x:c>
      <x:c r="F20" s="34" t="n">
        <x:v>604900000</x:v>
      </x:c>
      <x:c r="G20" s="38" t="str">
        <x:v>actual</x:v>
      </x:c>
      <x:c r="H20" s="38" t="str">
        <x:v>mof_public_debt_bulletin_n25</x:v>
      </x:c>
      <x:c r="I20" s="38" t="str">
        <x:v>Derived normalized components</x:v>
      </x:c>
      <x:c r="J20" s="38" t="str">
        <x:v>Domestic Government Debt + External Government Debt</x:v>
      </x:c>
      <x:c r="K20" s="38" t="str">
        <x:v>Million GEL</x:v>
      </x:c>
      <x:c r="L20" s="50" t="str">
        <x:v>Exact sum of the same-year normalized domestic and external Government Debt principal and interest rows; see component rows for complete source provenance.</x:v>
      </x:c>
      <x:c r="M20" s="38" t="str">
        <x:v>government-domestic-2019-budget-organizations</x:v>
      </x:c>
      <x:c r="N20" s="44" t="n">
        <x:v>46266</x:v>
      </x:c>
    </x:row>
    <x:row r="21" ht="38" customHeight="1">
      <x:c r="A21" s="34" t="n">
        <x:v>2019</x:v>
      </x:c>
      <x:c r="B21" s="38" t="str">
        <x:v>domestic</x:v>
      </x:c>
      <x:c r="C21" s="41" t="n">
        <x:v>1379.35</x:v>
      </x:c>
      <x:c r="D21" s="41" t="n">
        <x:v>281</x:v>
      </x:c>
      <x:c r="E21" s="34" t="n">
        <x:v>1379350000</x:v>
      </x:c>
      <x:c r="F21" s="34" t="n">
        <x:v>281000000</x:v>
      </x:c>
      <x:c r="G21" s="38" t="str">
        <x:v>actual</x:v>
      </x:c>
      <x:c r="H21" s="38" t="str">
        <x:v>mof_public_debt_bulletin_n25</x:v>
      </x:c>
      <x:c r="I21" s="38" t="str">
        <x:v>12. Debt Service</x:v>
      </x:c>
      <x:c r="J21" s="38" t="str">
        <x:v>PRINCIPAL / INTEREST + Loans of Budgetary Organizations</x:v>
      </x:c>
      <x:c r="K21" s="38" t="str">
        <x:v>Million GEL</x:v>
      </x:c>
      <x:c r="L21" s="50" t="str">
        <x:v>Published domestic principal and interest plus the published loans-of-budgetary-organizations principal and interest for the same year; no estimate.</x:v>
      </x:c>
      <x:c r="M21" s="38" t="str">
        <x:v>government-domestic-2019-budget-organizations</x:v>
      </x:c>
      <x:c r="N21" s="44" t="n">
        <x:v>46266</x:v>
      </x:c>
    </x:row>
    <x:row r="22" ht="38" customHeight="1">
      <x:c r="A22" s="34" t="n">
        <x:v>2019</x:v>
      </x:c>
      <x:c r="B22" s="38" t="str">
        <x:v>external</x:v>
      </x:c>
      <x:c r="C22" s="41" t="n">
        <x:v>917.4</x:v>
      </x:c>
      <x:c r="D22" s="41" t="n">
        <x:v>323.9</x:v>
      </x:c>
      <x:c r="E22" s="34" t="n">
        <x:v>917400000</x:v>
      </x:c>
      <x:c r="F22" s="34" t="n">
        <x:v>323900000</x:v>
      </x:c>
      <x:c r="G22" s="38" t="str">
        <x:v>actual</x:v>
      </x:c>
      <x:c r="H22" s="38" t="str">
        <x:v>mof_public_debt_bulletin_n13</x:v>
      </x:c>
      <x:c r="I22" s="38" t="str">
        <x:v>17. NET FLOWS &amp; NET TRANSFERS ON PUBLIC DEBT</x:v>
      </x:c>
      <x:c r="J22" s="38" t="str">
        <x:v>o/w Government External Debt</x:v>
      </x:c>
      <x:c r="K22" s="38" t="str">
        <x:v>Million GEL</x:v>
      </x:c>
      <x:c r="L22" s="50" t="str">
        <x:v>Published Government Debt principal and interest selected from the approved source row; no estimate.</x:v>
      </x:c>
      <x:c r="M22" s="38"/>
      <x:c r="N22" s="44" t="n">
        <x:v>46266</x:v>
      </x:c>
    </x:row>
    <x:row r="23" ht="38" customHeight="1">
      <x:c r="A23" s="34" t="n">
        <x:v>2020</x:v>
      </x:c>
      <x:c r="B23" s="38" t="str">
        <x:v>total</x:v>
      </x:c>
      <x:c r="C23" s="41" t="n">
        <x:v>2472.63</x:v>
      </x:c>
      <x:c r="D23" s="41" t="n">
        <x:v>764.7</x:v>
      </x:c>
      <x:c r="E23" s="34" t="n">
        <x:v>2472630000</x:v>
      </x:c>
      <x:c r="F23" s="34" t="n">
        <x:v>764700000</x:v>
      </x:c>
      <x:c r="G23" s="38" t="str">
        <x:v>actual</x:v>
      </x:c>
      <x:c r="H23" s="38" t="str">
        <x:v>mof_public_debt_bulletin_n25</x:v>
      </x:c>
      <x:c r="I23" s="38" t="str">
        <x:v>Derived normalized components</x:v>
      </x:c>
      <x:c r="J23" s="38" t="str">
        <x:v>Domestic Government Debt + External Government Debt</x:v>
      </x:c>
      <x:c r="K23" s="38" t="str">
        <x:v>Million GEL</x:v>
      </x:c>
      <x:c r="L23" s="50" t="str">
        <x:v>Exact sum of the same-year normalized domestic and external Government Debt principal and interest rows; see component rows for complete source provenance.</x:v>
      </x:c>
      <x:c r="M23" s="38"/>
      <x:c r="N23" s="44" t="n">
        <x:v>46266</x:v>
      </x:c>
    </x:row>
    <x:row r="24" ht="38" customHeight="1">
      <x:c r="A24" s="34" t="n">
        <x:v>2020</x:v>
      </x:c>
      <x:c r="B24" s="38" t="str">
        <x:v>domestic</x:v>
      </x:c>
      <x:c r="C24" s="41" t="n">
        <x:v>1570.23</x:v>
      </x:c>
      <x:c r="D24" s="41" t="n">
        <x:v>428.2</x:v>
      </x:c>
      <x:c r="E24" s="34" t="n">
        <x:v>1570230000</x:v>
      </x:c>
      <x:c r="F24" s="34" t="n">
        <x:v>428200000</x:v>
      </x:c>
      <x:c r="G24" s="38" t="str">
        <x:v>actual</x:v>
      </x:c>
      <x:c r="H24" s="38" t="str">
        <x:v>mof_public_debt_bulletin_n25</x:v>
      </x:c>
      <x:c r="I24" s="38" t="str">
        <x:v>12. Debt Service</x:v>
      </x:c>
      <x:c r="J24" s="38" t="str">
        <x:v>PRINCIPAL / INTEREST + Loans of Budgetary Organizations</x:v>
      </x:c>
      <x:c r="K24" s="38" t="str">
        <x:v>Million GEL</x:v>
      </x:c>
      <x:c r="L24" s="50" t="str">
        <x:v>Published domestic principal and interest plus the published loans-of-budgetary-organizations principal and interest for the same year; no estimate.</x:v>
      </x:c>
      <x:c r="M24" s="38"/>
      <x:c r="N24" s="44" t="n">
        <x:v>46266</x:v>
      </x:c>
    </x:row>
    <x:row r="25" ht="38" customHeight="1">
      <x:c r="A25" s="34" t="n">
        <x:v>2020</x:v>
      </x:c>
      <x:c r="B25" s="38" t="str">
        <x:v>external</x:v>
      </x:c>
      <x:c r="C25" s="41" t="n">
        <x:v>902.4</x:v>
      </x:c>
      <x:c r="D25" s="41" t="n">
        <x:v>336.5</x:v>
      </x:c>
      <x:c r="E25" s="34" t="n">
        <x:v>902400000</x:v>
      </x:c>
      <x:c r="F25" s="34" t="n">
        <x:v>336500000</x:v>
      </x:c>
      <x:c r="G25" s="38" t="str">
        <x:v>actual</x:v>
      </x:c>
      <x:c r="H25" s="38" t="str">
        <x:v>mof_public_debt_bulletin_n19</x:v>
      </x:c>
      <x:c r="I25" s="38" t="str">
        <x:v>18. NET FLOWS &amp; NET TRANSFERS ON PUBLIC DEBT</x:v>
      </x:c>
      <x:c r="J25" s="38" t="str">
        <x:v>o/w External Government Debt</x:v>
      </x:c>
      <x:c r="K25" s="38" t="str">
        <x:v>Million GEL</x:v>
      </x:c>
      <x:c r="L25" s="50" t="str">
        <x:v>Published Government Debt principal and interest selected from the approved source row; no estimate.</x:v>
      </x:c>
      <x:c r="M25" s="38"/>
      <x:c r="N25" s="44" t="n">
        <x:v>46266</x:v>
      </x:c>
    </x:row>
    <x:row r="26" ht="38" customHeight="1">
      <x:c r="A26" s="34" t="n">
        <x:v>2021</x:v>
      </x:c>
      <x:c r="B26" s="38" t="str">
        <x:v>total</x:v>
      </x:c>
      <x:c r="C26" s="41" t="n">
        <x:v>4365.45</x:v>
      </x:c>
      <x:c r="D26" s="41" t="n">
        <x:v>795.4</x:v>
      </x:c>
      <x:c r="E26" s="34" t="n">
        <x:v>4365450000</x:v>
      </x:c>
      <x:c r="F26" s="34" t="n">
        <x:v>795400000</x:v>
      </x:c>
      <x:c r="G26" s="38" t="str">
        <x:v>actual</x:v>
      </x:c>
      <x:c r="H26" s="38" t="str">
        <x:v>mof_public_debt_bulletin_n25</x:v>
      </x:c>
      <x:c r="I26" s="38" t="str">
        <x:v>Derived normalized components</x:v>
      </x:c>
      <x:c r="J26" s="38" t="str">
        <x:v>Domestic Government Debt + External Government Debt</x:v>
      </x:c>
      <x:c r="K26" s="38" t="str">
        <x:v>Million GEL</x:v>
      </x:c>
      <x:c r="L26" s="50" t="str">
        <x:v>Exact sum of the same-year normalized domestic and external Government Debt principal and interest rows; see component rows for complete source provenance.</x:v>
      </x:c>
      <x:c r="M26" s="38"/>
      <x:c r="N26" s="44" t="n">
        <x:v>46266</x:v>
      </x:c>
    </x:row>
    <x:row r="27" ht="38" customHeight="1">
      <x:c r="A27" s="34" t="n">
        <x:v>2021</x:v>
      </x:c>
      <x:c r="B27" s="38" t="str">
        <x:v>domestic</x:v>
      </x:c>
      <x:c r="C27" s="41" t="n">
        <x:v>1711.95</x:v>
      </x:c>
      <x:c r="D27" s="41" t="n">
        <x:v>511.6</x:v>
      </x:c>
      <x:c r="E27" s="34" t="n">
        <x:v>1711950000</x:v>
      </x:c>
      <x:c r="F27" s="34" t="n">
        <x:v>511600000</x:v>
      </x:c>
      <x:c r="G27" s="38" t="str">
        <x:v>actual</x:v>
      </x:c>
      <x:c r="H27" s="38" t="str">
        <x:v>mof_public_debt_bulletin_n25</x:v>
      </x:c>
      <x:c r="I27" s="38" t="str">
        <x:v>12. Debt Service</x:v>
      </x:c>
      <x:c r="J27" s="38" t="str">
        <x:v>PRINCIPAL / INTEREST + Loans of Budgetary Organizations</x:v>
      </x:c>
      <x:c r="K27" s="38" t="str">
        <x:v>Million GEL</x:v>
      </x:c>
      <x:c r="L27" s="50" t="str">
        <x:v>Published domestic principal and interest plus the published loans-of-budgetary-organizations principal and interest for the same year; no estimate.</x:v>
      </x:c>
      <x:c r="M27" s="38"/>
      <x:c r="N27" s="44" t="n">
        <x:v>46266</x:v>
      </x:c>
    </x:row>
    <x:row r="28" ht="38" customHeight="1">
      <x:c r="A28" s="34" t="n">
        <x:v>2021</x:v>
      </x:c>
      <x:c r="B28" s="38" t="str">
        <x:v>external</x:v>
      </x:c>
      <x:c r="C28" s="41" t="n">
        <x:v>2653.5</x:v>
      </x:c>
      <x:c r="D28" s="41" t="n">
        <x:v>283.8</x:v>
      </x:c>
      <x:c r="E28" s="34" t="n">
        <x:v>2653500000</x:v>
      </x:c>
      <x:c r="F28" s="34" t="n">
        <x:v>283800000</x:v>
      </x:c>
      <x:c r="G28" s="38" t="str">
        <x:v>actual</x:v>
      </x:c>
      <x:c r="H28" s="38" t="str">
        <x:v>mof_public_debt_bulletin_n19</x:v>
      </x:c>
      <x:c r="I28" s="38" t="str">
        <x:v>18. NET FLOWS &amp; NET TRANSFERS ON PUBLIC DEBT</x:v>
      </x:c>
      <x:c r="J28" s="38" t="str">
        <x:v>o/w External Government Debt</x:v>
      </x:c>
      <x:c r="K28" s="38" t="str">
        <x:v>Million GEL</x:v>
      </x:c>
      <x:c r="L28" s="50" t="str">
        <x:v>Published Government Debt principal and interest selected from the approved source row; no estimate.</x:v>
      </x:c>
      <x:c r="M28" s="38"/>
      <x:c r="N28" s="44" t="n">
        <x:v>46266</x:v>
      </x:c>
    </x:row>
    <x:row r="29" ht="38" customHeight="1">
      <x:c r="A29" s="34" t="n">
        <x:v>2022</x:v>
      </x:c>
      <x:c r="B29" s="38" t="str">
        <x:v>total</x:v>
      </x:c>
      <x:c r="C29" s="41" t="n">
        <x:v>2504.39</x:v>
      </x:c>
      <x:c r="D29" s="41" t="n">
        <x:v>753.3</x:v>
      </x:c>
      <x:c r="E29" s="34" t="n">
        <x:v>2504390000</x:v>
      </x:c>
      <x:c r="F29" s="34" t="n">
        <x:v>753300000</x:v>
      </x:c>
      <x:c r="G29" s="38" t="str">
        <x:v>actual</x:v>
      </x:c>
      <x:c r="H29" s="38" t="str">
        <x:v>mof_public_debt_bulletin_n25</x:v>
      </x:c>
      <x:c r="I29" s="38" t="str">
        <x:v>Derived normalized components</x:v>
      </x:c>
      <x:c r="J29" s="38" t="str">
        <x:v>Domestic Government Debt + External Government Debt</x:v>
      </x:c>
      <x:c r="K29" s="38" t="str">
        <x:v>Million GEL</x:v>
      </x:c>
      <x:c r="L29" s="50" t="str">
        <x:v>Exact sum of the same-year normalized domestic and external Government Debt principal and interest rows; see component rows for complete source provenance.</x:v>
      </x:c>
      <x:c r="M29" s="38" t="str">
        <x:v>government-domestic-2022-general-government-soes</x:v>
      </x:c>
      <x:c r="N29" s="44" t="n">
        <x:v>46266</x:v>
      </x:c>
    </x:row>
    <x:row r="30" ht="38" customHeight="1">
      <x:c r="A30" s="34" t="n">
        <x:v>2022</x:v>
      </x:c>
      <x:c r="B30" s="38" t="str">
        <x:v>domestic</x:v>
      </x:c>
      <x:c r="C30" s="41" t="n">
        <x:v>1533.19</x:v>
      </x:c>
      <x:c r="D30" s="41" t="n">
        <x:v>516.9</x:v>
      </x:c>
      <x:c r="E30" s="34" t="n">
        <x:v>1533190000</x:v>
      </x:c>
      <x:c r="F30" s="34" t="n">
        <x:v>516900000</x:v>
      </x:c>
      <x:c r="G30" s="38" t="str">
        <x:v>actual</x:v>
      </x:c>
      <x:c r="H30" s="38" t="str">
        <x:v>mof_public_debt_bulletin_n25</x:v>
      </x:c>
      <x:c r="I30" s="38" t="str">
        <x:v>12. Debt Service</x:v>
      </x:c>
      <x:c r="J30" s="38" t="str">
        <x:v>PRINCIPAL / INTEREST + Loans of Budgetary Organizations</x:v>
      </x:c>
      <x:c r="K30" s="38" t="str">
        <x:v>Million GEL</x:v>
      </x:c>
      <x:c r="L30" s="50" t="str">
        <x:v>Published domestic principal and interest plus the published loans-of-budgetary-organizations principal and interest for the same year; no estimate.</x:v>
      </x:c>
      <x:c r="M30" s="38" t="str">
        <x:v>government-domestic-2022-general-government-soes</x:v>
      </x:c>
      <x:c r="N30" s="44" t="n">
        <x:v>46266</x:v>
      </x:c>
    </x:row>
    <x:row r="31" ht="38" customHeight="1">
      <x:c r="A31" s="34" t="n">
        <x:v>2022</x:v>
      </x:c>
      <x:c r="B31" s="38" t="str">
        <x:v>external</x:v>
      </x:c>
      <x:c r="C31" s="41" t="n">
        <x:v>971.2</x:v>
      </x:c>
      <x:c r="D31" s="41" t="n">
        <x:v>236.4</x:v>
      </x:c>
      <x:c r="E31" s="34" t="n">
        <x:v>971200000</x:v>
      </x:c>
      <x:c r="F31" s="34" t="n">
        <x:v>236400000</x:v>
      </x:c>
      <x:c r="G31" s="38" t="str">
        <x:v>actual</x:v>
      </x:c>
      <x:c r="H31" s="38" t="str">
        <x:v>mof_public_debt_bulletin_n19</x:v>
      </x:c>
      <x:c r="I31" s="38" t="str">
        <x:v>18. NET FLOWS &amp; NET TRANSFERS ON PUBLIC DEBT</x:v>
      </x:c>
      <x:c r="J31" s="38" t="str">
        <x:v>o/w External Government Debt</x:v>
      </x:c>
      <x:c r="K31" s="38" t="str">
        <x:v>Million GEL</x:v>
      </x:c>
      <x:c r="L31" s="50" t="str">
        <x:v>Published Government Debt principal and interest selected from the approved source row; no estimate.</x:v>
      </x:c>
      <x:c r="M31" s="38"/>
      <x:c r="N31" s="44" t="n">
        <x:v>46266</x:v>
      </x:c>
    </x:row>
    <x:row r="32" ht="38" customHeight="1">
      <x:c r="A32" s="34" t="n">
        <x:v>2023</x:v>
      </x:c>
      <x:c r="B32" s="38" t="str">
        <x:v>total</x:v>
      </x:c>
      <x:c r="C32" s="41" t="n">
        <x:v>2651.72</x:v>
      </x:c>
      <x:c r="D32" s="41" t="n">
        <x:v>1187.3</x:v>
      </x:c>
      <x:c r="E32" s="34" t="n">
        <x:v>2651720000</x:v>
      </x:c>
      <x:c r="F32" s="34" t="n">
        <x:v>1187300000</x:v>
      </x:c>
      <x:c r="G32" s="38" t="str">
        <x:v>actual</x:v>
      </x:c>
      <x:c r="H32" s="38" t="str">
        <x:v>mof_public_debt_bulletin_n25</x:v>
      </x:c>
      <x:c r="I32" s="38" t="str">
        <x:v>Derived normalized components</x:v>
      </x:c>
      <x:c r="J32" s="38" t="str">
        <x:v>Domestic Government Debt + External Government Debt</x:v>
      </x:c>
      <x:c r="K32" s="38" t="str">
        <x:v>Million GEL</x:v>
      </x:c>
      <x:c r="L32" s="50" t="str">
        <x:v>Exact sum of the same-year normalized domestic and external Government Debt principal and interest rows; see component rows for complete source provenance.</x:v>
      </x:c>
      <x:c r="M32" s="38"/>
      <x:c r="N32" s="44" t="n">
        <x:v>46266</x:v>
      </x:c>
    </x:row>
    <x:row r="33" ht="38" customHeight="1">
      <x:c r="A33" s="34" t="n">
        <x:v>2023</x:v>
      </x:c>
      <x:c r="B33" s="38" t="str">
        <x:v>domestic</x:v>
      </x:c>
      <x:c r="C33" s="41" t="n">
        <x:v>1603.22</x:v>
      </x:c>
      <x:c r="D33" s="41" t="n">
        <x:v>670.5</x:v>
      </x:c>
      <x:c r="E33" s="34" t="n">
        <x:v>1603220000</x:v>
      </x:c>
      <x:c r="F33" s="34" t="n">
        <x:v>670500000</x:v>
      </x:c>
      <x:c r="G33" s="38" t="str">
        <x:v>actual</x:v>
      </x:c>
      <x:c r="H33" s="38" t="str">
        <x:v>mof_public_debt_bulletin_n25</x:v>
      </x:c>
      <x:c r="I33" s="38" t="str">
        <x:v>12. Debt Service</x:v>
      </x:c>
      <x:c r="J33" s="38" t="str">
        <x:v>PRINCIPAL / INTEREST + Loans of Budgetary Organizations</x:v>
      </x:c>
      <x:c r="K33" s="38" t="str">
        <x:v>Million GEL</x:v>
      </x:c>
      <x:c r="L33" s="50" t="str">
        <x:v>Published domestic principal and interest plus the published loans-of-budgetary-organizations principal and interest for the same year; no estimate.</x:v>
      </x:c>
      <x:c r="M33" s="38"/>
      <x:c r="N33" s="44" t="n">
        <x:v>46266</x:v>
      </x:c>
    </x:row>
    <x:row r="34" ht="38" customHeight="1">
      <x:c r="A34" s="34" t="n">
        <x:v>2023</x:v>
      </x:c>
      <x:c r="B34" s="38" t="str">
        <x:v>external</x:v>
      </x:c>
      <x:c r="C34" s="41" t="n">
        <x:v>1048.5</x:v>
      </x:c>
      <x:c r="D34" s="41" t="n">
        <x:v>516.8</x:v>
      </x:c>
      <x:c r="E34" s="34" t="n">
        <x:v>1048500000</x:v>
      </x:c>
      <x:c r="F34" s="34" t="n">
        <x:v>516800000</x:v>
      </x:c>
      <x:c r="G34" s="38" t="str">
        <x:v>actual</x:v>
      </x:c>
      <x:c r="H34" s="38" t="str">
        <x:v>mof_public_debt_bulletin_n25</x:v>
      </x:c>
      <x:c r="I34" s="38" t="str">
        <x:v>18. Net Flows &amp; Net Transfers on Public Debt</x:v>
      </x:c>
      <x:c r="J34" s="38" t="str">
        <x:v>o/w External Government Debt</x:v>
      </x:c>
      <x:c r="K34" s="38" t="str">
        <x:v>Million GEL</x:v>
      </x:c>
      <x:c r="L34" s="50" t="str">
        <x:v>Published Government Debt principal and interest selected from the approved source row; no estimate.</x:v>
      </x:c>
      <x:c r="M34" s="38"/>
      <x:c r="N34" s="44" t="n">
        <x:v>46266</x:v>
      </x:c>
    </x:row>
    <x:row r="35" ht="38" customHeight="1">
      <x:c r="A35" s="34" t="n">
        <x:v>2024</x:v>
      </x:c>
      <x:c r="B35" s="38" t="str">
        <x:v>total</x:v>
      </x:c>
      <x:c r="C35" s="41" t="n">
        <x:v>3332.68</x:v>
      </x:c>
      <x:c r="D35" s="41" t="n">
        <x:v>1477.8</x:v>
      </x:c>
      <x:c r="E35" s="34" t="n">
        <x:v>3332680000</x:v>
      </x:c>
      <x:c r="F35" s="34" t="n">
        <x:v>1477800000</x:v>
      </x:c>
      <x:c r="G35" s="38" t="str">
        <x:v>actual</x:v>
      </x:c>
      <x:c r="H35" s="38" t="str">
        <x:v>mof_public_debt_bulletin_n25</x:v>
      </x:c>
      <x:c r="I35" s="38" t="str">
        <x:v>Derived normalized components</x:v>
      </x:c>
      <x:c r="J35" s="38" t="str">
        <x:v>Domestic Government Debt + External Government Debt</x:v>
      </x:c>
      <x:c r="K35" s="38" t="str">
        <x:v>Million GEL</x:v>
      </x:c>
      <x:c r="L35" s="50" t="str">
        <x:v>Exact sum of the same-year normalized domestic and external Government Debt principal and interest rows; see component rows for complete source provenance.</x:v>
      </x:c>
      <x:c r="M35" s="38"/>
      <x:c r="N35" s="44" t="n">
        <x:v>46266</x:v>
      </x:c>
    </x:row>
    <x:row r="36" ht="38" customHeight="1">
      <x:c r="A36" s="34" t="n">
        <x:v>2024</x:v>
      </x:c>
      <x:c r="B36" s="38" t="str">
        <x:v>domestic</x:v>
      </x:c>
      <x:c r="C36" s="41" t="n">
        <x:v>2093.68</x:v>
      </x:c>
      <x:c r="D36" s="41" t="n">
        <x:v>759.7</x:v>
      </x:c>
      <x:c r="E36" s="34" t="n">
        <x:v>2093680000</x:v>
      </x:c>
      <x:c r="F36" s="34" t="n">
        <x:v>759700000</x:v>
      </x:c>
      <x:c r="G36" s="38" t="str">
        <x:v>actual</x:v>
      </x:c>
      <x:c r="H36" s="38" t="str">
        <x:v>mof_public_debt_bulletin_n25</x:v>
      </x:c>
      <x:c r="I36" s="38" t="str">
        <x:v>12. Debt Service</x:v>
      </x:c>
      <x:c r="J36" s="38" t="str">
        <x:v>PRINCIPAL / INTEREST + Loans of Budgetary Organizations</x:v>
      </x:c>
      <x:c r="K36" s="38" t="str">
        <x:v>Million GEL</x:v>
      </x:c>
      <x:c r="L36" s="50" t="str">
        <x:v>Published domestic principal and interest plus the published loans-of-budgetary-organizations principal and interest for the same year; no estimate.</x:v>
      </x:c>
      <x:c r="M36" s="38"/>
      <x:c r="N36" s="44" t="n">
        <x:v>46266</x:v>
      </x:c>
    </x:row>
    <x:row r="37" ht="38" customHeight="1">
      <x:c r="A37" s="34" t="n">
        <x:v>2024</x:v>
      </x:c>
      <x:c r="B37" s="38" t="str">
        <x:v>external</x:v>
      </x:c>
      <x:c r="C37" s="41" t="n">
        <x:v>1239</x:v>
      </x:c>
      <x:c r="D37" s="41" t="n">
        <x:v>718.1</x:v>
      </x:c>
      <x:c r="E37" s="34" t="n">
        <x:v>1239000000</x:v>
      </x:c>
      <x:c r="F37" s="34" t="n">
        <x:v>718100000</x:v>
      </x:c>
      <x:c r="G37" s="38" t="str">
        <x:v>actual</x:v>
      </x:c>
      <x:c r="H37" s="38" t="str">
        <x:v>mof_public_debt_bulletin_n25</x:v>
      </x:c>
      <x:c r="I37" s="38" t="str">
        <x:v>18. Net Flows &amp; Net Transfers on Public Debt</x:v>
      </x:c>
      <x:c r="J37" s="38" t="str">
        <x:v>o/w External Government Debt</x:v>
      </x:c>
      <x:c r="K37" s="38" t="str">
        <x:v>Million GEL</x:v>
      </x:c>
      <x:c r="L37" s="50" t="str">
        <x:v>Published Government Debt principal and interest selected from the approved source row; no estimate.</x:v>
      </x:c>
      <x:c r="M37" s="38"/>
      <x:c r="N37" s="44" t="n">
        <x:v>46266</x:v>
      </x:c>
    </x:row>
    <x:row r="38" ht="38" customHeight="1">
      <x:c r="A38" s="34" t="n">
        <x:v>2025</x:v>
      </x:c>
      <x:c r="B38" s="38" t="str">
        <x:v>total</x:v>
      </x:c>
      <x:c r="C38" s="41" t="n">
        <x:v>2736.5</x:v>
      </x:c>
      <x:c r="D38" s="41" t="n">
        <x:v>1633</x:v>
      </x:c>
      <x:c r="E38" s="34" t="n">
        <x:v>2736500000</x:v>
      </x:c>
      <x:c r="F38" s="34" t="n">
        <x:v>1633000000</x:v>
      </x:c>
      <x:c r="G38" s="38" t="str">
        <x:v>actual</x:v>
      </x:c>
      <x:c r="H38" s="38" t="str">
        <x:v>mof_public_debt_bulletin_n25</x:v>
      </x:c>
      <x:c r="I38" s="38" t="str">
        <x:v>Derived normalized components</x:v>
      </x:c>
      <x:c r="J38" s="38" t="str">
        <x:v>Domestic Government Debt + External Government Debt</x:v>
      </x:c>
      <x:c r="K38" s="38" t="str">
        <x:v>Million GEL</x:v>
      </x:c>
      <x:c r="L38" s="50" t="str">
        <x:v>Exact sum of the same-year normalized domestic and external Government Debt principal and interest rows; see component rows for complete source provenance.</x:v>
      </x:c>
      <x:c r="M38" s="38"/>
      <x:c r="N38" s="44" t="n">
        <x:v>46266</x:v>
      </x:c>
    </x:row>
    <x:row r="39" ht="38" customHeight="1">
      <x:c r="A39" s="34" t="n">
        <x:v>2025</x:v>
      </x:c>
      <x:c r="B39" s="38" t="str">
        <x:v>domestic</x:v>
      </x:c>
      <x:c r="C39" s="41" t="n">
        <x:v>1377.4</x:v>
      </x:c>
      <x:c r="D39" s="41" t="n">
        <x:v>914.3</x:v>
      </x:c>
      <x:c r="E39" s="34" t="n">
        <x:v>1377400000</x:v>
      </x:c>
      <x:c r="F39" s="34" t="n">
        <x:v>914300000</x:v>
      </x:c>
      <x:c r="G39" s="38" t="str">
        <x:v>actual</x:v>
      </x:c>
      <x:c r="H39" s="38" t="str">
        <x:v>mof_public_debt_bulletin_n25</x:v>
      </x:c>
      <x:c r="I39" s="38" t="str">
        <x:v>12. Debt Service</x:v>
      </x:c>
      <x:c r="J39" s="38" t="str">
        <x:v>PRINCIPAL / INTEREST + Loans of Budgetary Organizations</x:v>
      </x:c>
      <x:c r="K39" s="38" t="str">
        <x:v>Million GEL</x:v>
      </x:c>
      <x:c r="L39" s="50" t="str">
        <x:v>Published domestic principal and interest plus the published loans-of-budgetary-organizations principal and interest for the same year; no estimate.</x:v>
      </x:c>
      <x:c r="M39" s="38"/>
      <x:c r="N39" s="44" t="n">
        <x:v>46266</x:v>
      </x:c>
    </x:row>
    <x:row r="40" ht="38" customHeight="1">
      <x:c r="A40" s="35" t="n">
        <x:v>2025</x:v>
      </x:c>
      <x:c r="B40" s="39" t="str">
        <x:v>external</x:v>
      </x:c>
      <x:c r="C40" s="42" t="n">
        <x:v>1359.1</x:v>
      </x:c>
      <x:c r="D40" s="42" t="n">
        <x:v>718.7</x:v>
      </x:c>
      <x:c r="E40" s="35" t="n">
        <x:v>1359100000</x:v>
      </x:c>
      <x:c r="F40" s="35" t="n">
        <x:v>718700000</x:v>
      </x:c>
      <x:c r="G40" s="39" t="str">
        <x:v>actual</x:v>
      </x:c>
      <x:c r="H40" s="39" t="str">
        <x:v>mof_public_debt_bulletin_n25</x:v>
      </x:c>
      <x:c r="I40" s="39" t="str">
        <x:v>18. Net Flows &amp; Net Transfers on Public Debt</x:v>
      </x:c>
      <x:c r="J40" s="39" t="str">
        <x:v>o/w External Government Debt</x:v>
      </x:c>
      <x:c r="K40" s="39" t="str">
        <x:v>Million GEL</x:v>
      </x:c>
      <x:c r="L40" s="51" t="str">
        <x:v>Published Government Debt principal and interest selected from the approved source row; no estimate.</x:v>
      </x:c>
      <x:c r="M40" s="39"/>
      <x:c r="N40" s="45" t="n">
        <x:v>46266</x:v>
      </x:c>
    </x:row>
  </x:sheetData>
  <x:pageMargins left="0.7" right="0.7" top="0.75" bottom="0.75" header="0.3" footer="0.3"/>
  <x:tableParts count="1">
    <x:tablePart xmlns:r="http://schemas.openxmlformats.org/officeDocument/2006/relationships" r:id="R5e5fec86f57a44e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20" hidden="0" customWidth="1"/>
    <x:col min="5" max="5" width="20" hidden="0" customWidth="1"/>
    <x:col min="6" max="6" width="14" hidden="0" customWidth="1"/>
    <x:col min="7" max="7" width="20" hidden="0" customWidth="1"/>
    <x:col min="8" max="8" width="32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18" hidden="0" customWidth="1"/>
    <x:col min="14" max="14" width="70" hidden="0" customWidth="1"/>
    <x:col min="15" max="15" width="34" hidden="0" customWidth="1"/>
    <x:col min="16" max="16" width="36" hidden="0" customWidth="1"/>
    <x:col min="17" max="17" width="36" hidden="0" customWidth="1"/>
    <x:col min="18" max="18" width="58" hidden="0" customWidth="1"/>
    <x:col min="19" max="19" width="14" hidden="0" customWidth="1"/>
  </x:cols>
  <x:sheetData>
    <x:row r="1" ht="48" customHeight="1">
      <x:c r="A1" s="29" t="str">
        <x:v>snapshot_date</x:v>
      </x:c>
      <x:c r="B1" s="29" t="str">
        <x:v>payment_year</x:v>
      </x:c>
      <x:c r="C1" s="36" t="str">
        <x:v>debt_scope</x:v>
      </x:c>
      <x:c r="D1" s="29" t="str">
        <x:v>principal_source_amount</x:v>
      </x:c>
      <x:c r="E1" s="29" t="str">
        <x:v>interest_source_amount</x:v>
      </x:c>
      <x:c r="F1" s="36" t="str">
        <x:v>source_currency</x:v>
      </x:c>
      <x:c r="G1" s="29" t="str">
        <x:v>published_exchange_rate</x:v>
      </x:c>
      <x:c r="H1" s="36" t="str">
        <x:v>published_exchange_rate_definition</x:v>
      </x:c>
      <x:c r="I1" s="29" t="str">
        <x:v>source_exchange_rate_to_gel</x:v>
      </x:c>
      <x:c r="J1" s="29" t="str">
        <x:v>principal_million_gel</x:v>
      </x:c>
      <x:c r="K1" s="29" t="str">
        <x:v>interest_million_gel</x:v>
      </x:c>
      <x:c r="L1" s="29" t="str">
        <x:v>total_service_million_gel</x:v>
      </x:c>
      <x:c r="M1" s="36" t="str">
        <x:v>status</x:v>
      </x:c>
      <x:c r="N1" s="36" t="str">
        <x:v>coverage_note</x:v>
      </x:c>
      <x:c r="O1" s="36" t="str">
        <x:v>source_id</x:v>
      </x:c>
      <x:c r="P1" s="36" t="str">
        <x:v>source_table</x:v>
      </x:c>
      <x:c r="Q1" s="36" t="str">
        <x:v>source_row_label</x:v>
      </x:c>
      <x:c r="R1" s="36" t="str">
        <x:v>transformation</x:v>
      </x:c>
      <x:c r="S1" s="29" t="str">
        <x:v>last_reviewed_at</x:v>
      </x:c>
    </x:row>
    <x:row r="2" ht="54" customHeight="1">
      <x:c r="A2" s="43" t="n">
        <x:v>46022</x:v>
      </x:c>
      <x:c r="B2" s="33" t="n">
        <x:v>2026</x:v>
      </x:c>
      <x:c r="C2" s="37" t="str">
        <x:v>total</x:v>
      </x:c>
      <x:c r="D2" s="40" t="n">
        <x:v>3547.0088436658</x:v>
      </x:c>
      <x:c r="E2" s="40" t="n">
        <x:v>1613.8312668464</x:v>
      </x:c>
      <x:c r="F2" s="37" t="str">
        <x:v>GEL</x:v>
      </x:c>
      <x:c r="G2" s="58" t="n">
        <x:v>1</x:v>
      </x:c>
      <x:c r="H2" s="37" t="str">
        <x:v>1 GEL = 1 GEL</x:v>
      </x:c>
      <x:c r="I2" s="58" t="n">
        <x:v>1</x:v>
      </x:c>
      <x:c r="J2" s="40" t="n">
        <x:v>3547.0088436658</x:v>
      </x:c>
      <x:c r="K2" s="40" t="n">
        <x:v>1613.8312668464</x:v>
      </x:c>
      <x:c r="L2" s="40" t="n">
        <x:v>5160.8401105122</x:v>
      </x:c>
      <x:c r="M2" s="37" t="str">
        <x:v>projection_existing_portfolio</x:v>
      </x:c>
      <x:c r="N2" s="49" t="str">
        <x:v>Existing portfolio as of 2025-12-31. External covers External Government Debt; domestic covers the published Treasury-securities schedule. Future borrowing, refinancing, FX changes, variable-rate changes, and unscheduled domestic loan debt are excluded.</x:v>
      </x:c>
      <x:c r="O2" s="37" t="str">
        <x:v>mof_public_debt_bulletin_n25</x:v>
      </x:c>
      <x:c r="P2" s="37" t="str">
        <x:v>Derived normalized forecast components</x:v>
      </x:c>
      <x:c r="Q2" s="37" t="str">
        <x:v>Domestic + external Government Debt schedule</x:v>
      </x:c>
      <x:c r="R2" s="49" t="str">
        <x:v>Exact sum of the GEL-normalized domestic and external forecast component rows.</x:v>
      </x:c>
      <x:c r="S2" s="43" t="n">
        <x:v>46266</x:v>
      </x:c>
    </x:row>
    <x:row r="3" ht="54" customHeight="1">
      <x:c r="A3" s="44" t="n">
        <x:v>46022</x:v>
      </x:c>
      <x:c r="B3" s="34" t="n">
        <x:v>2026</x:v>
      </x:c>
      <x:c r="C3" s="38" t="str">
        <x:v>domestic</x:v>
      </x:c>
      <x:c r="D3" s="41" t="n">
        <x:v>822.211</x:v>
      </x:c>
      <x:c r="E3" s="41" t="n">
        <x:v>973.4</x:v>
      </x:c>
      <x:c r="F3" s="38" t="str">
        <x:v>GEL</x:v>
      </x:c>
      <x:c r="G3" s="59" t="n">
        <x:v>1</x:v>
      </x:c>
      <x:c r="H3" s="38" t="str">
        <x:v>1 GEL = 1 GEL</x:v>
      </x:c>
      <x:c r="I3" s="59" t="n">
        <x:v>1</x:v>
      </x:c>
      <x:c r="J3" s="41" t="n">
        <x:v>822.211</x:v>
      </x:c>
      <x:c r="K3" s="41" t="n">
        <x:v>973.4</x:v>
      </x:c>
      <x:c r="L3" s="41" t="n">
        <x:v>1795.6</x:v>
      </x:c>
      <x:c r="M3" s="38" t="str">
        <x:v>projection_existing_portfolio</x:v>
      </x:c>
      <x:c r="N3" s="50" t="str">
        <x:v>Existing portfolio as of 2025-12-31. External covers External Government Debt; domestic covers the published Treasury-securities schedule. Future borrowing, refinancing, FX changes, variable-rate changes, and unscheduled domestic loan debt are excluded.</x:v>
      </x:c>
      <x:c r="O3" s="38" t="str">
        <x:v>mof_public_debt_bulletin_n25</x:v>
      </x:c>
      <x:c r="P3" s="38" t="str">
        <x:v>15. Treasury Securities Portfolio + 26. T-Bills/T-Bonds Service</x:v>
      </x:c>
      <x:c r="Q3" s="38" t="str">
        <x:v>Treasury-security principal + derived interest</x:v>
      </x:c>
      <x:c r="R3" s="50" t="str">
        <x:v>Principal is the sum of issued amounts by redemption year; interest is published total service less principal, rounded to the service chart's one-decimal precision.</x:v>
      </x:c>
      <x:c r="S3" s="44" t="n">
        <x:v>46266</x:v>
      </x:c>
    </x:row>
    <x:row r="4" ht="54" customHeight="1">
      <x:c r="A4" s="44" t="n">
        <x:v>46022</x:v>
      </x:c>
      <x:c r="B4" s="34" t="n">
        <x:v>2026</x:v>
      </x:c>
      <x:c r="C4" s="38" t="str">
        <x:v>external</x:v>
      </x:c>
      <x:c r="D4" s="41" t="n">
        <x:v>1010.9</x:v>
      </x:c>
      <x:c r="E4" s="41" t="n">
        <x:v>237.6</x:v>
      </x:c>
      <x:c r="F4" s="38" t="str">
        <x:v>USD</x:v>
      </x:c>
      <x:c r="G4" s="59" t="n">
        <x:v>0.371</x:v>
      </x:c>
      <x:c r="H4" s="38" t="str">
        <x:v>1 GEL = 0.3710 USD at 2025-12-31</x:v>
      </x:c>
      <x:c r="I4" s="59" t="n">
        <x:v>2.6954177897574123</x:v>
      </x:c>
      <x:c r="J4" s="41" t="n">
        <x:v>2724.7978436658</x:v>
      </x:c>
      <x:c r="K4" s="41" t="n">
        <x:v>640.4312668464</x:v>
      </x:c>
      <x:c r="L4" s="41" t="n">
        <x:v>3365.2291105122</x:v>
      </x:c>
      <x:c r="M4" s="38" t="str">
        <x:v>projection_existing_portfolio</x:v>
      </x:c>
      <x:c r="N4" s="50" t="str">
        <x:v>Existing portfolio as of 2025-12-31. External covers External Government Debt; domestic covers the published Treasury-securities schedule. Future borrowing, refinancing, FX changes, variable-rate changes, and unscheduled domestic loan debt are excluded.</x:v>
      </x:c>
      <x:c r="O4" s="38" t="str">
        <x:v>mof_public_debt_bulletin_n25</x:v>
      </x:c>
      <x:c r="P4" s="38" t="str">
        <x:v>10. Projected External Public Debt Service (based on stock 31.12.2025)</x:v>
      </x:c>
      <x:c r="Q4" s="38" t="str">
        <x:v>Government External Debt</x:v>
      </x:c>
      <x:c r="R4" s="50" t="str">
        <x:v>Published USD principal and interest multiplied by the reciprocal of the published 2025-12-31 GEL/USD rate.</x:v>
      </x:c>
      <x:c r="S4" s="44" t="n">
        <x:v>46266</x:v>
      </x:c>
    </x:row>
    <x:row r="5" ht="54" customHeight="1">
      <x:c r="A5" s="44" t="n">
        <x:v>46022</x:v>
      </x:c>
      <x:c r="B5" s="34" t="n">
        <x:v>2027</x:v>
      </x:c>
      <x:c r="C5" s="38" t="str">
        <x:v>total</x:v>
      </x:c>
      <x:c r="D5" s="41" t="n">
        <x:v>2920.9201590296</x:v>
      </x:c>
      <x:c r="E5" s="41" t="n">
        <x:v>1467.509703504</x:v>
      </x:c>
      <x:c r="F5" s="38" t="str">
        <x:v>GEL</x:v>
      </x:c>
      <x:c r="G5" s="59" t="n">
        <x:v>1</x:v>
      </x:c>
      <x:c r="H5" s="38" t="str">
        <x:v>1 GEL = 1 GEL</x:v>
      </x:c>
      <x:c r="I5" s="59" t="n">
        <x:v>1</x:v>
      </x:c>
      <x:c r="J5" s="41" t="n">
        <x:v>2920.9201590296</x:v>
      </x:c>
      <x:c r="K5" s="41" t="n">
        <x:v>1467.509703504</x:v>
      </x:c>
      <x:c r="L5" s="41" t="n">
        <x:v>4388.4298625336</x:v>
      </x:c>
      <x:c r="M5" s="38" t="str">
        <x:v>projection_existing_portfolio</x:v>
      </x:c>
      <x:c r="N5" s="50" t="str">
        <x:v>Existing portfolio as of 2025-12-31. External covers External Government Debt; domestic covers the published Treasury-securities schedule. Future borrowing, refinancing, FX changes, variable-rate changes, and unscheduled domestic loan debt are excluded.</x:v>
      </x:c>
      <x:c r="O5" s="38" t="str">
        <x:v>mof_public_debt_bulletin_n25</x:v>
      </x:c>
      <x:c r="P5" s="38" t="str">
        <x:v>Derived normalized forecast components</x:v>
      </x:c>
      <x:c r="Q5" s="38" t="str">
        <x:v>Domestic + external Government Debt schedule</x:v>
      </x:c>
      <x:c r="R5" s="50" t="str">
        <x:v>Exact sum of the GEL-normalized domestic and external forecast component rows.</x:v>
      </x:c>
      <x:c r="S5" s="44" t="n">
        <x:v>46266</x:v>
      </x:c>
    </x:row>
    <x:row r="6" ht="54" customHeight="1">
      <x:c r="A6" s="44" t="n">
        <x:v>46022</x:v>
      </x:c>
      <x:c r="B6" s="34" t="n">
        <x:v>2027</x:v>
      </x:c>
      <x:c r="C6" s="38" t="str">
        <x:v>domestic</x:v>
      </x:c>
      <x:c r="D6" s="41" t="n">
        <x:v>1539.249</x:v>
      </x:c>
      <x:c r="E6" s="41" t="n">
        <x:v>879.1</x:v>
      </x:c>
      <x:c r="F6" s="38" t="str">
        <x:v>GEL</x:v>
      </x:c>
      <x:c r="G6" s="59" t="n">
        <x:v>1</x:v>
      </x:c>
      <x:c r="H6" s="38" t="str">
        <x:v>1 GEL = 1 GEL</x:v>
      </x:c>
      <x:c r="I6" s="59" t="n">
        <x:v>1</x:v>
      </x:c>
      <x:c r="J6" s="41" t="n">
        <x:v>1539.249</x:v>
      </x:c>
      <x:c r="K6" s="41" t="n">
        <x:v>879.1</x:v>
      </x:c>
      <x:c r="L6" s="41" t="n">
        <x:v>2418.3</x:v>
      </x:c>
      <x:c r="M6" s="38" t="str">
        <x:v>projection_existing_portfolio</x:v>
      </x:c>
      <x:c r="N6" s="50" t="str">
        <x:v>Existing portfolio as of 2025-12-31. External covers External Government Debt; domestic covers the published Treasury-securities schedule. Future borrowing, refinancing, FX changes, variable-rate changes, and unscheduled domestic loan debt are excluded.</x:v>
      </x:c>
      <x:c r="O6" s="38" t="str">
        <x:v>mof_public_debt_bulletin_n25</x:v>
      </x:c>
      <x:c r="P6" s="38" t="str">
        <x:v>15. Treasury Securities Portfolio + 26. T-Bills/T-Bonds Service</x:v>
      </x:c>
      <x:c r="Q6" s="38" t="str">
        <x:v>Treasury-security principal + derived interest</x:v>
      </x:c>
      <x:c r="R6" s="50" t="str">
        <x:v>Principal is the sum of issued amounts by redemption year; interest is published total service less principal, rounded to the service chart's one-decimal precision.</x:v>
      </x:c>
      <x:c r="S6" s="44" t="n">
        <x:v>46266</x:v>
      </x:c>
    </x:row>
    <x:row r="7" ht="54" customHeight="1">
      <x:c r="A7" s="44" t="n">
        <x:v>46022</x:v>
      </x:c>
      <x:c r="B7" s="34" t="n">
        <x:v>2027</x:v>
      </x:c>
      <x:c r="C7" s="38" t="str">
        <x:v>external</x:v>
      </x:c>
      <x:c r="D7" s="41" t="n">
        <x:v>512.6</x:v>
      </x:c>
      <x:c r="E7" s="41" t="n">
        <x:v>218.3</x:v>
      </x:c>
      <x:c r="F7" s="38" t="str">
        <x:v>USD</x:v>
      </x:c>
      <x:c r="G7" s="59" t="n">
        <x:v>0.371</x:v>
      </x:c>
      <x:c r="H7" s="38" t="str">
        <x:v>1 GEL = 0.3710 USD at 2025-12-31</x:v>
      </x:c>
      <x:c r="I7" s="59" t="n">
        <x:v>2.6954177897574123</x:v>
      </x:c>
      <x:c r="J7" s="41" t="n">
        <x:v>1381.6711590296</x:v>
      </x:c>
      <x:c r="K7" s="41" t="n">
        <x:v>588.409703504</x:v>
      </x:c>
      <x:c r="L7" s="41" t="n">
        <x:v>1970.0808625336</x:v>
      </x:c>
      <x:c r="M7" s="38" t="str">
        <x:v>projection_existing_portfolio</x:v>
      </x:c>
      <x:c r="N7" s="50" t="str">
        <x:v>Existing portfolio as of 2025-12-31. External covers External Government Debt; domestic covers the published Treasury-securities schedule. Future borrowing, refinancing, FX changes, variable-rate changes, and unscheduled domestic loan debt are excluded.</x:v>
      </x:c>
      <x:c r="O7" s="38" t="str">
        <x:v>mof_public_debt_bulletin_n25</x:v>
      </x:c>
      <x:c r="P7" s="38" t="str">
        <x:v>10. Projected External Public Debt Service (based on stock 31.12.2025)</x:v>
      </x:c>
      <x:c r="Q7" s="38" t="str">
        <x:v>Government External Debt</x:v>
      </x:c>
      <x:c r="R7" s="50" t="str">
        <x:v>Published USD principal and interest multiplied by the reciprocal of the published 2025-12-31 GEL/USD rate.</x:v>
      </x:c>
      <x:c r="S7" s="44" t="n">
        <x:v>46266</x:v>
      </x:c>
    </x:row>
    <x:row r="8" ht="54" customHeight="1">
      <x:c r="A8" s="44" t="n">
        <x:v>46022</x:v>
      </x:c>
      <x:c r="B8" s="34" t="n">
        <x:v>2028</x:v>
      </x:c>
      <x:c r="C8" s="38" t="str">
        <x:v>total</x:v>
      </x:c>
      <x:c r="D8" s="41" t="n">
        <x:v>4252.7484663073</x:v>
      </x:c>
      <x:c r="E8" s="41" t="n">
        <x:v>1227.3514824798</x:v>
      </x:c>
      <x:c r="F8" s="38" t="str">
        <x:v>GEL</x:v>
      </x:c>
      <x:c r="G8" s="59" t="n">
        <x:v>1</x:v>
      </x:c>
      <x:c r="H8" s="38" t="str">
        <x:v>1 GEL = 1 GEL</x:v>
      </x:c>
      <x:c r="I8" s="59" t="n">
        <x:v>1</x:v>
      </x:c>
      <x:c r="J8" s="41" t="n">
        <x:v>4252.7484663073</x:v>
      </x:c>
      <x:c r="K8" s="41" t="n">
        <x:v>1227.3514824798</x:v>
      </x:c>
      <x:c r="L8" s="41" t="n">
        <x:v>5480.0999487871</x:v>
      </x:c>
      <x:c r="M8" s="38" t="str">
        <x:v>projection_existing_portfolio</x:v>
      </x:c>
      <x:c r="N8" s="50" t="str">
        <x:v>Existing portfolio as of 2025-12-31. External covers External Government Debt; domestic covers the published Treasury-securities schedule. Future borrowing, refinancing, FX changes, variable-rate changes, and unscheduled domestic loan debt are excluded.</x:v>
      </x:c>
      <x:c r="O8" s="38" t="str">
        <x:v>mof_public_debt_bulletin_n25</x:v>
      </x:c>
      <x:c r="P8" s="38" t="str">
        <x:v>Derived normalized forecast components</x:v>
      </x:c>
      <x:c r="Q8" s="38" t="str">
        <x:v>Domestic + external Government Debt schedule</x:v>
      </x:c>
      <x:c r="R8" s="50" t="str">
        <x:v>Exact sum of the GEL-normalized domestic and external forecast component rows.</x:v>
      </x:c>
      <x:c r="S8" s="44" t="n">
        <x:v>46266</x:v>
      </x:c>
    </x:row>
    <x:row r="9" ht="54" customHeight="1">
      <x:c r="A9" s="44" t="n">
        <x:v>46022</x:v>
      </x:c>
      <x:c r="B9" s="34" t="n">
        <x:v>2028</x:v>
      </x:c>
      <x:c r="C9" s="38" t="str">
        <x:v>domestic</x:v>
      </x:c>
      <x:c r="D9" s="41" t="n">
        <x:v>2833.611</x:v>
      </x:c>
      <x:c r="E9" s="41" t="n">
        <x:v>669.4</x:v>
      </x:c>
      <x:c r="F9" s="38" t="str">
        <x:v>GEL</x:v>
      </x:c>
      <x:c r="G9" s="59" t="n">
        <x:v>1</x:v>
      </x:c>
      <x:c r="H9" s="38" t="str">
        <x:v>1 GEL = 1 GEL</x:v>
      </x:c>
      <x:c r="I9" s="59" t="n">
        <x:v>1</x:v>
      </x:c>
      <x:c r="J9" s="41" t="n">
        <x:v>2833.611</x:v>
      </x:c>
      <x:c r="K9" s="41" t="n">
        <x:v>669.4</x:v>
      </x:c>
      <x:c r="L9" s="41" t="n">
        <x:v>3503</x:v>
      </x:c>
      <x:c r="M9" s="38" t="str">
        <x:v>projection_existing_portfolio</x:v>
      </x:c>
      <x:c r="N9" s="50" t="str">
        <x:v>Existing portfolio as of 2025-12-31. External covers External Government Debt; domestic covers the published Treasury-securities schedule. Future borrowing, refinancing, FX changes, variable-rate changes, and unscheduled domestic loan debt are excluded.</x:v>
      </x:c>
      <x:c r="O9" s="38" t="str">
        <x:v>mof_public_debt_bulletin_n25</x:v>
      </x:c>
      <x:c r="P9" s="38" t="str">
        <x:v>15. Treasury Securities Portfolio + 26. T-Bills/T-Bonds Service</x:v>
      </x:c>
      <x:c r="Q9" s="38" t="str">
        <x:v>Treasury-security principal + derived interest</x:v>
      </x:c>
      <x:c r="R9" s="50" t="str">
        <x:v>Principal is the sum of issued amounts by redemption year; interest is published total service less principal, rounded to the service chart's one-decimal precision.</x:v>
      </x:c>
      <x:c r="S9" s="44" t="n">
        <x:v>46266</x:v>
      </x:c>
    </x:row>
    <x:row r="10" ht="54" customHeight="1">
      <x:c r="A10" s="44" t="n">
        <x:v>46022</x:v>
      </x:c>
      <x:c r="B10" s="34" t="n">
        <x:v>2028</x:v>
      </x:c>
      <x:c r="C10" s="38" t="str">
        <x:v>external</x:v>
      </x:c>
      <x:c r="D10" s="41" t="n">
        <x:v>526.5</x:v>
      </x:c>
      <x:c r="E10" s="41" t="n">
        <x:v>207</x:v>
      </x:c>
      <x:c r="F10" s="38" t="str">
        <x:v>USD</x:v>
      </x:c>
      <x:c r="G10" s="59" t="n">
        <x:v>0.371</x:v>
      </x:c>
      <x:c r="H10" s="38" t="str">
        <x:v>1 GEL = 0.3710 USD at 2025-12-31</x:v>
      </x:c>
      <x:c r="I10" s="59" t="n">
        <x:v>2.6954177897574123</x:v>
      </x:c>
      <x:c r="J10" s="41" t="n">
        <x:v>1419.1374663073</x:v>
      </x:c>
      <x:c r="K10" s="41" t="n">
        <x:v>557.9514824798</x:v>
      </x:c>
      <x:c r="L10" s="41" t="n">
        <x:v>1977.0889487871</x:v>
      </x:c>
      <x:c r="M10" s="38" t="str">
        <x:v>projection_existing_portfolio</x:v>
      </x:c>
      <x:c r="N10" s="50" t="str">
        <x:v>Existing portfolio as of 2025-12-31. External covers External Government Debt; domestic covers the published Treasury-securities schedule. Future borrowing, refinancing, FX changes, variable-rate changes, and unscheduled domestic loan debt are excluded.</x:v>
      </x:c>
      <x:c r="O10" s="38" t="str">
        <x:v>mof_public_debt_bulletin_n25</x:v>
      </x:c>
      <x:c r="P10" s="38" t="str">
        <x:v>10. Projected External Public Debt Service (based on stock 31.12.2025)</x:v>
      </x:c>
      <x:c r="Q10" s="38" t="str">
        <x:v>Government External Debt</x:v>
      </x:c>
      <x:c r="R10" s="50" t="str">
        <x:v>Published USD principal and interest multiplied by the reciprocal of the published 2025-12-31 GEL/USD rate.</x:v>
      </x:c>
      <x:c r="S10" s="44" t="n">
        <x:v>46266</x:v>
      </x:c>
    </x:row>
    <x:row r="11" ht="54" customHeight="1">
      <x:c r="A11" s="44" t="n">
        <x:v>46022</x:v>
      </x:c>
      <x:c r="B11" s="34" t="n">
        <x:v>2029</x:v>
      </x:c>
      <x:c r="C11" s="38" t="str">
        <x:v>total</x:v>
      </x:c>
      <x:c r="D11" s="41" t="n">
        <x:v>2818.5952938005</x:v>
      </x:c>
      <x:c r="E11" s="41" t="n">
        <x:v>1060.4892183288</x:v>
      </x:c>
      <x:c r="F11" s="38" t="str">
        <x:v>GEL</x:v>
      </x:c>
      <x:c r="G11" s="59" t="n">
        <x:v>1</x:v>
      </x:c>
      <x:c r="H11" s="38" t="str">
        <x:v>1 GEL = 1 GEL</x:v>
      </x:c>
      <x:c r="I11" s="59" t="n">
        <x:v>1</x:v>
      </x:c>
      <x:c r="J11" s="41" t="n">
        <x:v>2818.5952938005</x:v>
      </x:c>
      <x:c r="K11" s="41" t="n">
        <x:v>1060.4892183288</x:v>
      </x:c>
      <x:c r="L11" s="41" t="n">
        <x:v>3879.0845121293</x:v>
      </x:c>
      <x:c r="M11" s="38" t="str">
        <x:v>projection_existing_portfolio</x:v>
      </x:c>
      <x:c r="N11" s="50" t="str">
        <x:v>Existing portfolio as of 2025-12-31. External covers External Government Debt; domestic covers the published Treasury-securities schedule. Future borrowing, refinancing, FX changes, variable-rate changes, and unscheduled domestic loan debt are excluded.</x:v>
      </x:c>
      <x:c r="O11" s="38" t="str">
        <x:v>mof_public_debt_bulletin_n25</x:v>
      </x:c>
      <x:c r="P11" s="38" t="str">
        <x:v>Derived normalized forecast components</x:v>
      </x:c>
      <x:c r="Q11" s="38" t="str">
        <x:v>Domestic + external Government Debt schedule</x:v>
      </x:c>
      <x:c r="R11" s="50" t="str">
        <x:v>Exact sum of the GEL-normalized domestic and external forecast component rows.</x:v>
      </x:c>
      <x:c r="S11" s="44" t="n">
        <x:v>46266</x:v>
      </x:c>
    </x:row>
    <x:row r="12" ht="54" customHeight="1">
      <x:c r="A12" s="44" t="n">
        <x:v>46022</x:v>
      </x:c>
      <x:c r="B12" s="34" t="n">
        <x:v>2029</x:v>
      </x:c>
      <x:c r="C12" s="38" t="str">
        <x:v>domestic</x:v>
      </x:c>
      <x:c r="D12" s="41" t="n">
        <x:v>1413.474</x:v>
      </x:c>
      <x:c r="E12" s="41" t="n">
        <x:v>536.5</x:v>
      </x:c>
      <x:c r="F12" s="38" t="str">
        <x:v>GEL</x:v>
      </x:c>
      <x:c r="G12" s="59" t="n">
        <x:v>1</x:v>
      </x:c>
      <x:c r="H12" s="38" t="str">
        <x:v>1 GEL = 1 GEL</x:v>
      </x:c>
      <x:c r="I12" s="59" t="n">
        <x:v>1</x:v>
      </x:c>
      <x:c r="J12" s="41" t="n">
        <x:v>1413.474</x:v>
      </x:c>
      <x:c r="K12" s="41" t="n">
        <x:v>536.5</x:v>
      </x:c>
      <x:c r="L12" s="41" t="n">
        <x:v>1950</x:v>
      </x:c>
      <x:c r="M12" s="38" t="str">
        <x:v>projection_existing_portfolio</x:v>
      </x:c>
      <x:c r="N12" s="50" t="str">
        <x:v>Existing portfolio as of 2025-12-31. External covers External Government Debt; domestic covers the published Treasury-securities schedule. Future borrowing, refinancing, FX changes, variable-rate changes, and unscheduled domestic loan debt are excluded.</x:v>
      </x:c>
      <x:c r="O12" s="38" t="str">
        <x:v>mof_public_debt_bulletin_n25</x:v>
      </x:c>
      <x:c r="P12" s="38" t="str">
        <x:v>15. Treasury Securities Portfolio + 26. T-Bills/T-Bonds Service</x:v>
      </x:c>
      <x:c r="Q12" s="38" t="str">
        <x:v>Treasury-security principal + derived interest</x:v>
      </x:c>
      <x:c r="R12" s="50" t="str">
        <x:v>Principal is the sum of issued amounts by redemption year; interest is published total service less principal, rounded to the service chart's one-decimal precision.</x:v>
      </x:c>
      <x:c r="S12" s="44" t="n">
        <x:v>46266</x:v>
      </x:c>
    </x:row>
    <x:row r="13" ht="54" customHeight="1">
      <x:c r="A13" s="44" t="n">
        <x:v>46022</x:v>
      </x:c>
      <x:c r="B13" s="34" t="n">
        <x:v>2029</x:v>
      </x:c>
      <x:c r="C13" s="38" t="str">
        <x:v>external</x:v>
      </x:c>
      <x:c r="D13" s="41" t="n">
        <x:v>521.3</x:v>
      </x:c>
      <x:c r="E13" s="41" t="n">
        <x:v>194.4</x:v>
      </x:c>
      <x:c r="F13" s="38" t="str">
        <x:v>USD</x:v>
      </x:c>
      <x:c r="G13" s="59" t="n">
        <x:v>0.371</x:v>
      </x:c>
      <x:c r="H13" s="38" t="str">
        <x:v>1 GEL = 0.3710 USD at 2025-12-31</x:v>
      </x:c>
      <x:c r="I13" s="59" t="n">
        <x:v>2.6954177897574123</x:v>
      </x:c>
      <x:c r="J13" s="41" t="n">
        <x:v>1405.1212938005</x:v>
      </x:c>
      <x:c r="K13" s="41" t="n">
        <x:v>523.9892183288</x:v>
      </x:c>
      <x:c r="L13" s="41" t="n">
        <x:v>1929.1105121293</x:v>
      </x:c>
      <x:c r="M13" s="38" t="str">
        <x:v>projection_existing_portfolio</x:v>
      </x:c>
      <x:c r="N13" s="50" t="str">
        <x:v>Existing portfolio as of 2025-12-31. External covers External Government Debt; domestic covers the published Treasury-securities schedule. Future borrowing, refinancing, FX changes, variable-rate changes, and unscheduled domestic loan debt are excluded.</x:v>
      </x:c>
      <x:c r="O13" s="38" t="str">
        <x:v>mof_public_debt_bulletin_n25</x:v>
      </x:c>
      <x:c r="P13" s="38" t="str">
        <x:v>10. Projected External Public Debt Service (based on stock 31.12.2025)</x:v>
      </x:c>
      <x:c r="Q13" s="38" t="str">
        <x:v>Government External Debt</x:v>
      </x:c>
      <x:c r="R13" s="50" t="str">
        <x:v>Published USD principal and interest multiplied by the reciprocal of the published 2025-12-31 GEL/USD rate.</x:v>
      </x:c>
      <x:c r="S13" s="44" t="n">
        <x:v>46266</x:v>
      </x:c>
    </x:row>
    <x:row r="14" ht="54" customHeight="1">
      <x:c r="A14" s="44" t="n">
        <x:v>46022</x:v>
      </x:c>
      <x:c r="B14" s="34" t="n">
        <x:v>2030</x:v>
      </x:c>
      <x:c r="C14" s="38" t="str">
        <x:v>total</x:v>
      </x:c>
      <x:c r="D14" s="41" t="n">
        <x:v>2888.5471132075</x:v>
      </x:c>
      <x:c r="E14" s="41" t="n">
        <x:v>831.518328841</x:v>
      </x:c>
      <x:c r="F14" s="38" t="str">
        <x:v>GEL</x:v>
      </x:c>
      <x:c r="G14" s="59" t="n">
        <x:v>1</x:v>
      </x:c>
      <x:c r="H14" s="38" t="str">
        <x:v>1 GEL = 1 GEL</x:v>
      </x:c>
      <x:c r="I14" s="59" t="n">
        <x:v>1</x:v>
      </x:c>
      <x:c r="J14" s="41" t="n">
        <x:v>2888.5471132075</x:v>
      </x:c>
      <x:c r="K14" s="41" t="n">
        <x:v>831.518328841</x:v>
      </x:c>
      <x:c r="L14" s="41" t="n">
        <x:v>3720.0654420485</x:v>
      </x:c>
      <x:c r="M14" s="38" t="str">
        <x:v>projection_existing_portfolio</x:v>
      </x:c>
      <x:c r="N14" s="50" t="str">
        <x:v>Existing portfolio as of 2025-12-31. External covers External Government Debt; domestic covers the published Treasury-securities schedule. Future borrowing, refinancing, FX changes, variable-rate changes, and unscheduled domestic loan debt are excluded.</x:v>
      </x:c>
      <x:c r="O14" s="38" t="str">
        <x:v>mof_public_debt_bulletin_n25</x:v>
      </x:c>
      <x:c r="P14" s="38" t="str">
        <x:v>Derived normalized forecast components</x:v>
      </x:c>
      <x:c r="Q14" s="38" t="str">
        <x:v>Domestic + external Government Debt schedule</x:v>
      </x:c>
      <x:c r="R14" s="50" t="str">
        <x:v>Exact sum of the GEL-normalized domestic and external forecast component rows.</x:v>
      </x:c>
      <x:c r="S14" s="44" t="n">
        <x:v>46266</x:v>
      </x:c>
    </x:row>
    <x:row r="15" ht="54" customHeight="1">
      <x:c r="A15" s="44" t="n">
        <x:v>46022</x:v>
      </x:c>
      <x:c r="B15" s="34" t="n">
        <x:v>2030</x:v>
      </x:c>
      <x:c r="C15" s="38" t="str">
        <x:v>domestic</x:v>
      </x:c>
      <x:c r="D15" s="41" t="n">
        <x:v>1516.849</x:v>
      </x:c>
      <x:c r="E15" s="41" t="n">
        <x:v>342.3</x:v>
      </x:c>
      <x:c r="F15" s="38" t="str">
        <x:v>GEL</x:v>
      </x:c>
      <x:c r="G15" s="59" t="n">
        <x:v>1</x:v>
      </x:c>
      <x:c r="H15" s="38" t="str">
        <x:v>1 GEL = 1 GEL</x:v>
      </x:c>
      <x:c r="I15" s="59" t="n">
        <x:v>1</x:v>
      </x:c>
      <x:c r="J15" s="41" t="n">
        <x:v>1516.849</x:v>
      </x:c>
      <x:c r="K15" s="41" t="n">
        <x:v>342.3</x:v>
      </x:c>
      <x:c r="L15" s="41" t="n">
        <x:v>1859.1</x:v>
      </x:c>
      <x:c r="M15" s="38" t="str">
        <x:v>projection_existing_portfolio</x:v>
      </x:c>
      <x:c r="N15" s="50" t="str">
        <x:v>Existing portfolio as of 2025-12-31. External covers External Government Debt; domestic covers the published Treasury-securities schedule. Future borrowing, refinancing, FX changes, variable-rate changes, and unscheduled domestic loan debt are excluded.</x:v>
      </x:c>
      <x:c r="O15" s="38" t="str">
        <x:v>mof_public_debt_bulletin_n25</x:v>
      </x:c>
      <x:c r="P15" s="38" t="str">
        <x:v>15. Treasury Securities Portfolio + 26. T-Bills/T-Bonds Service</x:v>
      </x:c>
      <x:c r="Q15" s="38" t="str">
        <x:v>Treasury-security principal + derived interest</x:v>
      </x:c>
      <x:c r="R15" s="50" t="str">
        <x:v>Principal is the sum of issued amounts by redemption year; interest is published total service less principal, rounded to the service chart's one-decimal precision.</x:v>
      </x:c>
      <x:c r="S15" s="44" t="n">
        <x:v>46266</x:v>
      </x:c>
    </x:row>
    <x:row r="16" ht="54" customHeight="1">
      <x:c r="A16" s="45" t="n">
        <x:v>46022</x:v>
      </x:c>
      <x:c r="B16" s="35" t="n">
        <x:v>2030</x:v>
      </x:c>
      <x:c r="C16" s="39" t="str">
        <x:v>external</x:v>
      </x:c>
      <x:c r="D16" s="42" t="n">
        <x:v>508.9</x:v>
      </x:c>
      <x:c r="E16" s="42" t="n">
        <x:v>181.5</x:v>
      </x:c>
      <x:c r="F16" s="39" t="str">
        <x:v>USD</x:v>
      </x:c>
      <x:c r="G16" s="60" t="n">
        <x:v>0.371</x:v>
      </x:c>
      <x:c r="H16" s="39" t="str">
        <x:v>1 GEL = 0.3710 USD at 2025-12-31</x:v>
      </x:c>
      <x:c r="I16" s="60" t="n">
        <x:v>2.6954177897574123</x:v>
      </x:c>
      <x:c r="J16" s="42" t="n">
        <x:v>1371.6981132075</x:v>
      </x:c>
      <x:c r="K16" s="42" t="n">
        <x:v>489.218328841</x:v>
      </x:c>
      <x:c r="L16" s="42" t="n">
        <x:v>1860.9164420485</x:v>
      </x:c>
      <x:c r="M16" s="39" t="str">
        <x:v>projection_existing_portfolio</x:v>
      </x:c>
      <x:c r="N16" s="51" t="str">
        <x:v>Existing portfolio as of 2025-12-31. External covers External Government Debt; domestic covers the published Treasury-securities schedule. Future borrowing, refinancing, FX changes, variable-rate changes, and unscheduled domestic loan debt are excluded.</x:v>
      </x:c>
      <x:c r="O16" s="39" t="str">
        <x:v>mof_public_debt_bulletin_n25</x:v>
      </x:c>
      <x:c r="P16" s="39" t="str">
        <x:v>10. Projected External Public Debt Service (based on stock 31.12.2025)</x:v>
      </x:c>
      <x:c r="Q16" s="39" t="str">
        <x:v>Government External Debt</x:v>
      </x:c>
      <x:c r="R16" s="51" t="str">
        <x:v>Published USD principal and interest multiplied by the reciprocal of the published 2025-12-31 GEL/USD rate.</x:v>
      </x:c>
      <x:c r="S16" s="45" t="n">
        <x:v>46266</x:v>
      </x:c>
    </x:row>
  </x:sheetData>
  <x:pageMargins left="0.7" right="0.7" top="0.75" bottom="0.75" header="0.3" footer="0.3"/>
  <x:tableParts count="1">
    <x:tablePart xmlns:r="http://schemas.openxmlformats.org/officeDocument/2006/relationships" r:id="R5c4ee26d88eb498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20" hidden="0" customWidth="1"/>
    <x:col min="5" max="5" width="18" hidden="0" customWidth="1"/>
  </x:cols>
  <x:sheetData>
    <x:row r="1" ht="48" customHeight="1">
      <x:c r="A1" s="29" t="str">
        <x:v>year</x:v>
      </x:c>
      <x:c r="B1" s="36" t="str">
        <x:v>debt_scope</x:v>
      </x:c>
      <x:c r="C1" s="29" t="str">
        <x:v>canonical_government_debt_million_gel</x:v>
      </x:c>
      <x:c r="D1" s="29" t="str">
        <x:v>control_value_million_gel</x:v>
      </x:c>
      <x:c r="E1" s="36" t="str">
        <x:v>control_cell</x:v>
      </x:c>
    </x:row>
    <x:row r="2" ht="28" customHeight="1">
      <x:c r="A2" s="33" t="n">
        <x:v>2019</x:v>
      </x:c>
      <x:c r="B2" s="37" t="str">
        <x:v>total</x:v>
      </x:c>
      <x:c r="C2" s="40" t="n">
        <x:v>19915.7</x:v>
      </x:c>
      <x:c r="D2" s="40" t="n">
        <x:v>20569.7</x:v>
      </x:c>
      <x:c r="E2" s="37" t="str">
        <x:v>Sheet2!AX6</x:v>
      </x:c>
    </x:row>
    <x:row r="3" ht="28" customHeight="1">
      <x:c r="A3" s="34" t="n">
        <x:v>2019</x:v>
      </x:c>
      <x:c r="B3" s="38" t="str">
        <x:v>domestic</x:v>
      </x:c>
      <x:c r="C3" s="41" t="n">
        <x:v>4166</x:v>
      </x:c>
      <x:c r="D3" s="41" t="n">
        <x:v>4827</x:v>
      </x:c>
      <x:c r="E3" s="38" t="str">
        <x:v>Sheet2!AX9</x:v>
      </x:c>
    </x:row>
    <x:row r="4" ht="28" customHeight="1">
      <x:c r="A4" s="34" t="n">
        <x:v>2019</x:v>
      </x:c>
      <x:c r="B4" s="38" t="str">
        <x:v>external</x:v>
      </x:c>
      <x:c r="C4" s="41" t="n">
        <x:v>15749.7</x:v>
      </x:c>
      <x:c r="D4" s="41" t="n">
        <x:v>15742.7</x:v>
      </x:c>
      <x:c r="E4" s="38" t="str">
        <x:v>Sheet2!AX15</x:v>
      </x:c>
    </x:row>
    <x:row r="5" ht="28" customHeight="1">
      <x:c r="A5" s="34" t="n">
        <x:v>2022</x:v>
      </x:c>
      <x:c r="B5" s="38" t="str">
        <x:v>total</x:v>
      </x:c>
      <x:c r="C5" s="41" t="n">
        <x:v>28587.3</x:v>
      </x:c>
      <x:c r="D5" s="41" t="n">
        <x:v>28493.8</x:v>
      </x:c>
      <x:c r="E5" s="38" t="str">
        <x:v>Sheet2!BJ6</x:v>
      </x:c>
    </x:row>
    <x:row r="6" ht="28" customHeight="1">
      <x:c r="A6" s="34" t="n">
        <x:v>2022</x:v>
      </x:c>
      <x:c r="B6" s="38" t="str">
        <x:v>domestic</x:v>
      </x:c>
      <x:c r="C6" s="41" t="n">
        <x:v>7195.3</x:v>
      </x:c>
      <x:c r="D6" s="41" t="n">
        <x:v>7105.1</x:v>
      </x:c>
      <x:c r="E6" s="38" t="str">
        <x:v>Sheet2!BJ9</x:v>
      </x:c>
    </x:row>
    <x:row r="7" ht="28" customHeight="1">
      <x:c r="A7" s="35" t="n">
        <x:v>2022</x:v>
      </x:c>
      <x:c r="B7" s="39" t="str">
        <x:v>external</x:v>
      </x:c>
      <x:c r="C7" s="42" t="n">
        <x:v>21392</x:v>
      </x:c>
      <x:c r="D7" s="42" t="n">
        <x:v>21388.7</x:v>
      </x:c>
      <x:c r="E7" s="39" t="str">
        <x:v>Sheet2!BJ15</x:v>
      </x:c>
    </x:row>
  </x:sheetData>
  <x:pageMargins left="0.7" right="0.7" top="0.75" bottom="0.75" header="0.3" footer="0.3"/>
  <x:tableParts count="1">
    <x:tablePart xmlns:r="http://schemas.openxmlformats.org/officeDocument/2006/relationships" r:id="R9d1d0da6f78f4be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4" hidden="0" customWidth="1"/>
    <x:col min="3" max="3" width="36" hidden="0" customWidth="1"/>
    <x:col min="4" max="4" width="28" hidden="0" customWidth="1"/>
    <x:col min="5" max="5" width="16" hidden="0" customWidth="1"/>
    <x:col min="6" max="6" width="60" hidden="0" customWidth="1"/>
    <x:col min="7" max="7" width="66" hidden="0" customWidth="1"/>
    <x:col min="8" max="8" width="14" hidden="0" customWidth="1"/>
    <x:col min="9" max="9" width="46" hidden="0" customWidth="1"/>
    <x:col min="10" max="10" width="68" hidden="0" customWidth="1"/>
    <x:col min="11" max="11" width="14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58" hidden="0" customWidth="1"/>
  </x:cols>
  <x:sheetData>
    <x:row r="1" ht="48" customHeight="1">
      <x:c r="A1" s="36" t="str">
        <x:v>source_id</x:v>
      </x:c>
      <x:c r="B1" s="36" t="str">
        <x:v>dataset_title</x:v>
      </x:c>
      <x:c r="C1" s="36" t="str">
        <x:v>publisher</x:v>
      </x:c>
      <x:c r="D1" s="36" t="str">
        <x:v>roles</x:v>
      </x:c>
      <x:c r="E1" s="36" t="str">
        <x:v>document_date</x:v>
      </x:c>
      <x:c r="F1" s="36" t="str">
        <x:v>source_page_url</x:v>
      </x:c>
      <x:c r="G1" s="36" t="str">
        <x:v>retrieved_file_url</x:v>
      </x:c>
      <x:c r="H1" s="29" t="str">
        <x:v>retrieved_at</x:v>
      </x:c>
      <x:c r="I1" s="36" t="str">
        <x:v>local_file</x:v>
      </x:c>
      <x:c r="J1" s="36" t="str">
        <x:v>sha256</x:v>
      </x:c>
      <x:c r="K1" s="29" t="str">
        <x:v>bytes</x:v>
      </x:c>
      <x:c r="L1" s="29" t="str">
        <x:v>source_period_min</x:v>
      </x:c>
      <x:c r="M1" s="29" t="str">
        <x:v>source_period_max</x:v>
      </x:c>
      <x:c r="N1" s="29" t="str">
        <x:v>used_period_min</x:v>
      </x:c>
      <x:c r="O1" s="29" t="str">
        <x:v>used_period_max</x:v>
      </x:c>
      <x:c r="P1" s="36" t="str">
        <x:v>notes</x:v>
      </x:c>
    </x:row>
    <x:row r="2" ht="64" customHeight="1">
      <x:c r="A2" s="49" t="str">
        <x:v>mof_public_debt_bulletin_n7</x:v>
      </x:c>
      <x:c r="B2" s="49" t="str">
        <x:v>Public Debt of Georgia Statistical Bulletin N7</x:v>
      </x:c>
      <x:c r="C2" s="49" t="str">
        <x:v>Ministry of Finance of Georgia</x:v>
      </x:c>
      <x:c r="D2" s="49" t="str">
        <x:v>canonical_actual_service</x:v>
      </x:c>
      <x:c r="E2" s="79" t="str">
        <x:v>2016-12-31</x:v>
      </x:c>
      <x:c r="F2" s="49" t="str">
        <x:v>https://mof.ge/en/fl/sakartvelos_sakhelmtsifo_valis_statistikuri_biuleteni</x:v>
      </x:c>
      <x:c r="G2" s="49" t="str">
        <x:v>https://mof.ge/files/download/PublicSectorDebtN7ENGMay2017.pdf/d8812ef3-d563-4447-b35e-8a0a0b812056</x:v>
      </x:c>
      <x:c r="H2" s="80" t="n">
        <x:v>46266</x:v>
      </x:c>
      <x:c r="I2" s="49" t="str">
        <x:v>official/public-debt-bulletin-n7.pdf</x:v>
      </x:c>
      <x:c r="J2" s="49" t="str">
        <x:v>0FC59178E8910028A7773EE03E55EAE97AF4AC1E425F928544D87B0522CC66DA</x:v>
      </x:c>
      <x:c r="K2" s="33" t="n">
        <x:v>1925033</x:v>
      </x:c>
      <x:c r="L2" s="33" t="n">
        <x:v>2013</x:v>
      </x:c>
      <x:c r="M2" s="33" t="n">
        <x:v>2016</x:v>
      </x:c>
      <x:c r="N2" s="33" t="n">
        <x:v>2013</x:v>
      </x:c>
      <x:c r="O2" s="33" t="n">
        <x:v>2016</x:v>
      </x:c>
      <x:c r="P2" s="49" t="str">
        <x:v>External Government Debt principal and interest paid for 2013-2016.</x:v>
      </x:c>
    </x:row>
    <x:row r="3" ht="64" customHeight="1">
      <x:c r="A3" s="50" t="str">
        <x:v>mof_public_debt_bulletin_n13</x:v>
      </x:c>
      <x:c r="B3" s="50" t="str">
        <x:v>Public Debt of Georgia Statistical Bulletin N13</x:v>
      </x:c>
      <x:c r="C3" s="50" t="str">
        <x:v>Ministry of Finance of Georgia</x:v>
      </x:c>
      <x:c r="D3" s="50" t="str">
        <x:v>canonical_stock|canonical_actual_service</x:v>
      </x:c>
      <x:c r="E3" s="81" t="str">
        <x:v>2019-12-31</x:v>
      </x:c>
      <x:c r="F3" s="50" t="str">
        <x:v>https://mof.ge/en/fl/sakartvelos_sakhelmtsifo_valis_statistikuri_biuleteni</x:v>
      </x:c>
      <x:c r="G3" s="50" t="str">
        <x:v>https://mof.ge/files/download/N13ENG.pdf/78e85ff9-d592-4359-936a-b4874d3ebd1a</x:v>
      </x:c>
      <x:c r="H3" s="82" t="n">
        <x:v>46266</x:v>
      </x:c>
      <x:c r="I3" s="50" t="str">
        <x:v>official/public-debt-bulletin-n13.pdf</x:v>
      </x:c>
      <x:c r="J3" s="50" t="str">
        <x:v>BB27879C4EDD5D24D8246E2EC05F1E1DBE7F8374FE09BC673397184060E19CC2</x:v>
      </x:c>
      <x:c r="K3" s="34" t="n">
        <x:v>4726509</x:v>
      </x:c>
      <x:c r="L3" s="34" t="n">
        <x:v>2013</x:v>
      </x:c>
      <x:c r="M3" s="34" t="n">
        <x:v>2019</x:v>
      </x:c>
      <x:c r="N3" s="34" t="n">
        <x:v>2013</x:v>
      </x:c>
      <x:c r="O3" s="34" t="n">
        <x:v>2019</x:v>
      </x:c>
      <x:c r="P3" s="50" t="str">
        <x:v>Government Debt stock for 2013-2014 and External Government Debt principal and interest paid for 2017-2019.</x:v>
      </x:c>
    </x:row>
    <x:row r="4" ht="64" customHeight="1">
      <x:c r="A4" s="50" t="str">
        <x:v>mof_public_debt_bulletin_n19</x:v>
      </x:c>
      <x:c r="B4" s="50" t="str">
        <x:v>Public Debt of Georgia Statistical Bulletin N19</x:v>
      </x:c>
      <x:c r="C4" s="50" t="str">
        <x:v>Ministry of Finance of Georgia</x:v>
      </x:c>
      <x:c r="D4" s="50" t="str">
        <x:v>canonical_actual_service</x:v>
      </x:c>
      <x:c r="E4" s="81" t="str">
        <x:v>2022-12-31</x:v>
      </x:c>
      <x:c r="F4" s="50" t="str">
        <x:v>https://mof.ge/en/fl/sakartvelos_sakhelmtsifo_valis_statistikuri_biuleteni</x:v>
      </x:c>
      <x:c r="G4" s="50" t="str">
        <x:v>https://mof.ge/files/download/N19ENG.pdf/87b685f6-5e38-41ec-b777-b9e499ab6eca</x:v>
      </x:c>
      <x:c r="H4" s="82" t="n">
        <x:v>46266</x:v>
      </x:c>
      <x:c r="I4" s="50" t="str">
        <x:v>official/public-debt-bulletin-n19.pdf</x:v>
      </x:c>
      <x:c r="J4" s="50" t="str">
        <x:v>07BF09C8B3CFEC8FEBD9FDE89CC8BD40E7F2876B836A2B8459692CABC4A9D8BF</x:v>
      </x:c>
      <x:c r="K4" s="34" t="n">
        <x:v>3256246</x:v>
      </x:c>
      <x:c r="L4" s="34" t="n">
        <x:v>2014</x:v>
      </x:c>
      <x:c r="M4" s="34" t="n">
        <x:v>2022</x:v>
      </x:c>
      <x:c r="N4" s="34" t="n">
        <x:v>2020</x:v>
      </x:c>
      <x:c r="O4" s="34" t="n">
        <x:v>2022</x:v>
      </x:c>
      <x:c r="P4" s="50" t="str">
        <x:v>External Government Debt principal and interest paid for 2020-2022; overlapping stock is a control.</x:v>
      </x:c>
    </x:row>
    <x:row r="5" ht="64" customHeight="1">
      <x:c r="A5" s="50" t="str">
        <x:v>mof_public_debt_bulletin_n25</x:v>
      </x:c>
      <x:c r="B5" s="50" t="str">
        <x:v>Public Debt of Georgia Statistical Bulletin N25</x:v>
      </x:c>
      <x:c r="C5" s="50" t="str">
        <x:v>Ministry of Finance of Georgia</x:v>
      </x:c>
      <x:c r="D5" s="50" t="str">
        <x:v>canonical_stock|canonical_actual_service|canonical_forecast</x:v>
      </x:c>
      <x:c r="E5" s="81" t="str">
        <x:v>2025-12-31</x:v>
      </x:c>
      <x:c r="F5" s="50" t="str">
        <x:v>https://mof.ge/en/fl/sakartvelos_sakhelmtsifo_valis_statistikuri_biuleteni</x:v>
      </x:c>
      <x:c r="G5" s="50" t="str">
        <x:v>https://mof.ge/files/download/N25ENGUpdate.pdf/a8e288fa-cb9e-4028-9ae1-32f2dde1ace2</x:v>
      </x:c>
      <x:c r="H5" s="82" t="n">
        <x:v>46266</x:v>
      </x:c>
      <x:c r="I5" s="50" t="str">
        <x:v>official/public-debt-bulletin-n25.pdf</x:v>
      </x:c>
      <x:c r="J5" s="50" t="str">
        <x:v>F4C3B267C0A351A09D723037CF666C949694FCF1764E0C3366B2EBC393AF35F0</x:v>
      </x:c>
      <x:c r="K5" s="34" t="n">
        <x:v>2294087</x:v>
      </x:c>
      <x:c r="L5" s="34" t="n">
        <x:v>2013</x:v>
      </x:c>
      <x:c r="M5" s="34" t="n">
        <x:v>2053</x:v>
      </x:c>
      <x:c r="N5" s="34" t="n">
        <x:v>2013</x:v>
      </x:c>
      <x:c r="O5" s="34" t="n">
        <x:v>2030</x:v>
      </x:c>
      <x:c r="P5" s="50" t="str">
        <x:v>Government Debt stock for 2015-2025, domestic service history for 2013-2025, external service for 2023-2025, and the 2025-12-31 forecast snapshot.</x:v>
      </x:c>
    </x:row>
    <x:row r="6" ht="64" customHeight="1">
      <x:c r="A6" s="50" t="str">
        <x:v>mof_monthly_debt_report_2026_07</x:v>
      </x:c>
      <x:c r="B6" s="50" t="str">
        <x:v>Monthly Debt Report July 2026</x:v>
      </x:c>
      <x:c r="C6" s="50" t="str">
        <x:v>Ministry of Finance of Georgia</x:v>
      </x:c>
      <x:c r="D6" s="50" t="str">
        <x:v>canonical_interest_rate</x:v>
      </x:c>
      <x:c r="E6" s="81" t="str">
        <x:v>2026-07</x:v>
      </x:c>
      <x:c r="F6" s="50" t="str">
        <x:v>https://mof.ge/en/fl/investorebtan_urtiertoba__mtavrobis_valis_koveltviuri_angarishi</x:v>
      </x:c>
      <x:c r="G6" s="50" t="str">
        <x:v>https://mof.ge/files/download/Monthly%20Debt%20Report%20%20July.pdf/91fdb650-1e68-46a5-899f-a752f9811742</x:v>
      </x:c>
      <x:c r="H6" s="82" t="n">
        <x:v>46266</x:v>
      </x:c>
      <x:c r="I6" s="50" t="str">
        <x:v>official/monthly-debt-report-2026-07.pdf</x:v>
      </x:c>
      <x:c r="J6" s="50" t="str">
        <x:v>EF71062CE4BF01042AEA5F5B9B86B783E6CF15E8D3A4A619FEE69415947FFF08</x:v>
      </x:c>
      <x:c r="K6" s="34" t="n">
        <x:v>1506985</x:v>
      </x:c>
      <x:c r="L6" s="34" t="n">
        <x:v>2015</x:v>
      </x:c>
      <x:c r="M6" s="34" t="n">
        <x:v>2026</x:v>
      </x:c>
      <x:c r="N6" s="34" t="n">
        <x:v>2015</x:v>
      </x:c>
      <x:c r="O6" s="34" t="n">
        <x:v>2025</x:v>
      </x:c>
      <x:c r="P6" s="50" t="str">
        <x:v>Consistent one-decimal weighted-average interest rate history for total Government Debt.</x:v>
      </x:c>
    </x:row>
    <x:row r="7" ht="64" customHeight="1">
      <x:c r="A7" s="50" t="str">
        <x:v>mof_debt_strategy_2019_2021</x:v>
      </x:c>
      <x:c r="B7" s="50" t="str">
        <x:v>General Government Debt Management Strategy 2019-2021</x:v>
      </x:c>
      <x:c r="C7" s="50" t="str">
        <x:v>Ministry of Finance of Georgia</x:v>
      </x:c>
      <x:c r="D7" s="50" t="str">
        <x:v>canonical_interest_rate</x:v>
      </x:c>
      <x:c r="E7" s="81" t="str">
        <x:v>2019-02</x:v>
      </x:c>
      <x:c r="F7" s="50" t="str">
        <x:v>https://mof.ge/en/fl/mtavrobis_valis_martvis_strategia</x:v>
      </x:c>
      <x:c r="G7" s="50" t="str">
        <x:v>https://mof.ge/files/download/DMSENG19213May2019Web.pdf/924681c3-c2cd-4455-8043-531d6ded8b5e</x:v>
      </x:c>
      <x:c r="H7" s="82" t="n">
        <x:v>46266</x:v>
      </x:c>
      <x:c r="I7" s="50" t="str">
        <x:v>official/debt-management-strategy-2019-2021.pdf</x:v>
      </x:c>
      <x:c r="J7" s="50" t="str">
        <x:v>140D7D9BA29747773603829533060D27E7F729E0AC575319C0385E25EC489399</x:v>
      </x:c>
      <x:c r="K7" s="34" t="n">
        <x:v>814323</x:v>
      </x:c>
      <x:c r="L7" s="34" t="n">
        <x:v>2018</x:v>
      </x:c>
      <x:c r="M7" s="34" t="n">
        <x:v>2021</x:v>
      </x:c>
      <x:c r="N7" s="34" t="n">
        <x:v>2018</x:v>
      </x:c>
      <x:c r="O7" s="34" t="n">
        <x:v>2018</x:v>
      </x:c>
      <x:c r="P7" s="50" t="str">
        <x:v>Domestic Government Debt portfolio rate for 2018; the external figure is excluded because it does not cover the same full portfolio.</x:v>
      </x:c>
    </x:row>
    <x:row r="8" ht="64" customHeight="1">
      <x:c r="A8" s="50" t="str">
        <x:v>mof_debt_strategy_2022_2025</x:v>
      </x:c>
      <x:c r="B8" s="50" t="str">
        <x:v>General Government Debt Management Strategy 2022-2025</x:v>
      </x:c>
      <x:c r="C8" s="50" t="str">
        <x:v>Ministry of Finance of Georgia</x:v>
      </x:c>
      <x:c r="D8" s="50" t="str">
        <x:v>canonical_interest_rate</x:v>
      </x:c>
      <x:c r="E8" s="81" t="str">
        <x:v>2021-12</x:v>
      </x:c>
      <x:c r="F8" s="50" t="str">
        <x:v>https://mof.ge/en/fl/mtavrobis_valis_martvis_strategia</x:v>
      </x:c>
      <x:c r="G8" s="50" t="str">
        <x:v>https://mof.ge/files/download/General%20Government%20Debt%20Management%20Strategy%20for%2020222025.pdf/7ebce43c-ea3f-42d8-bd79-4538e5290afe</x:v>
      </x:c>
      <x:c r="H8" s="82" t="n">
        <x:v>46266</x:v>
      </x:c>
      <x:c r="I8" s="50" t="str">
        <x:v>official/debt-management-strategy-2022-2025.pdf</x:v>
      </x:c>
      <x:c r="J8" s="50" t="str">
        <x:v>3CBB9CB715DBBC7D7F5FA7324F78B2C72801AF296533194BE7CD2911C093572C</x:v>
      </x:c>
      <x:c r="K8" s="34" t="n">
        <x:v>354156</x:v>
      </x:c>
      <x:c r="L8" s="34" t="n">
        <x:v>2019</x:v>
      </x:c>
      <x:c r="M8" s="34" t="n">
        <x:v>2025</x:v>
      </x:c>
      <x:c r="N8" s="34" t="n">
        <x:v>2019</x:v>
      </x:c>
      <x:c r="O8" s="34" t="n">
        <x:v>2020</x:v>
      </x:c>
      <x:c r="P8" s="50" t="str">
        <x:v>Domestic Government Debt portfolio rates for 2019-2020; external rates explicitly exclude the Eurobond and are not normalized.</x:v>
      </x:c>
    </x:row>
    <x:row r="9" ht="64" customHeight="1">
      <x:c r="A9" s="50" t="str">
        <x:v>mof_debt_strategy_2023_2026</x:v>
      </x:c>
      <x:c r="B9" s="50" t="str">
        <x:v>General Government Debt Management Strategy 2023-2026</x:v>
      </x:c>
      <x:c r="C9" s="50" t="str">
        <x:v>Ministry of Finance of Georgia</x:v>
      </x:c>
      <x:c r="D9" s="50" t="str">
        <x:v>canonical_interest_rate</x:v>
      </x:c>
      <x:c r="E9" s="81" t="str">
        <x:v>2023</x:v>
      </x:c>
      <x:c r="F9" s="50" t="str">
        <x:v>https://mof.ge/en/fl/mtavrobis_valis_martvis_strategia</x:v>
      </x:c>
      <x:c r="G9" s="50" t="str">
        <x:v>https://mof.ge/files/download/Government%20Debt%20Management%20Strategy%2020232026.pdf/b27d2e53-de14-417e-aa90-6c99794ad573</x:v>
      </x:c>
      <x:c r="H9" s="82" t="n">
        <x:v>46266</x:v>
      </x:c>
      <x:c r="I9" s="50" t="str">
        <x:v>official/debt-management-strategy-2023-2026.pdf</x:v>
      </x:c>
      <x:c r="J9" s="50" t="str">
        <x:v>4E1FD16FB2C63289E572B38D44CAE867FF07E6100F8871E1DC9A38429F926EBB</x:v>
      </x:c>
      <x:c r="K9" s="34" t="n">
        <x:v>722887</x:v>
      </x:c>
      <x:c r="L9" s="34" t="n">
        <x:v>2021</x:v>
      </x:c>
      <x:c r="M9" s="34" t="n">
        <x:v>2026</x:v>
      </x:c>
      <x:c r="N9" s="34" t="n">
        <x:v>2021</x:v>
      </x:c>
      <x:c r="O9" s="34" t="n">
        <x:v>2022</x:v>
      </x:c>
      <x:c r="P9" s="50" t="str">
        <x:v>Full domestic and external Government Debt portfolio rates for 2021-2022.</x:v>
      </x:c>
    </x:row>
    <x:row r="10" ht="64" customHeight="1">
      <x:c r="A10" s="50" t="str">
        <x:v>mof_debt_strategy_2025_2029</x:v>
      </x:c>
      <x:c r="B10" s="50" t="str">
        <x:v>General Government Debt Management Strategy 2025-2029</x:v>
      </x:c>
      <x:c r="C10" s="50" t="str">
        <x:v>Ministry of Finance of Georgia</x:v>
      </x:c>
      <x:c r="D10" s="50" t="str">
        <x:v>canonical_interest_rate</x:v>
      </x:c>
      <x:c r="E10" s="81" t="str">
        <x:v>2025</x:v>
      </x:c>
      <x:c r="F10" s="50" t="str">
        <x:v>https://mof.ge/en/fl/mtavrobis_valis_martvis_strategia</x:v>
      </x:c>
      <x:c r="G10" s="50" t="str">
        <x:v>https://mof.ge/files/download/DMS%2020252029%20ENG.pdf/43e57bc8-01e2-4b71-bf3f-57f3516115f1</x:v>
      </x:c>
      <x:c r="H10" s="82" t="n">
        <x:v>46266</x:v>
      </x:c>
      <x:c r="I10" s="50" t="str">
        <x:v>official/debt-management-strategy-2025-2029.pdf</x:v>
      </x:c>
      <x:c r="J10" s="50" t="str">
        <x:v>FEDC578DA24DD7A49219216A1369FBD7F237F23B89866C036B0F6B69F83D133A</x:v>
      </x:c>
      <x:c r="K10" s="34" t="n">
        <x:v>624909</x:v>
      </x:c>
      <x:c r="L10" s="34" t="n">
        <x:v>2023</x:v>
      </x:c>
      <x:c r="M10" s="34" t="n">
        <x:v>2029</x:v>
      </x:c>
      <x:c r="N10" s="34" t="n">
        <x:v>2023</x:v>
      </x:c>
      <x:c r="O10" s="34" t="n">
        <x:v>2024</x:v>
      </x:c>
      <x:c r="P10" s="50" t="str">
        <x:v>Full domestic and external Government Debt portfolio rates for 2023-2024.</x:v>
      </x:c>
    </x:row>
    <x:row r="11" ht="64" customHeight="1">
      <x:c r="A11" s="51" t="str">
        <x:v>mof_central_government_liabilities_control</x:v>
      </x:c>
      <x:c r="B11" s="51" t="str">
        <x:v>Central Government Debt Liabilities by Maturity, Residency, and Instrument with reference to GFSM 2001</x:v>
      </x:c>
      <x:c r="C11" s="51" t="str">
        <x:v>Ministry of Finance of Georgia</x:v>
      </x:c>
      <x:c r="D11" s="51" t="str">
        <x:v>control_only</x:v>
      </x:c>
      <x:c r="E11" s="83" t="str">
        <x:v>2026-Q2</x:v>
      </x:c>
      <x:c r="F11" s="51" t="str">
        <x:v>https://www.mof.ge/en/fl/sakhelmtsifo_finansebis_statistika__tsentraluri_khelisuflebis_valebi</x:v>
      </x:c>
      <x:c r="G11" s="51" t="str">
        <x:v>https://www.mof.ge/files/download/centraluri%20xelisuflebis%20valebi%20da%20valdebulebebi.xls%20%20eng%20IIQ.xlsx/dc8cf5f0-82df-4b13-812e-25b53821df8b</x:v>
      </x:c>
      <x:c r="H11" s="84" t="n">
        <x:v>46266</x:v>
      </x:c>
      <x:c r="I11" s="51" t="str">
        <x:v>official/central-government-debt-liabilities-control.xlsx</x:v>
      </x:c>
      <x:c r="J11" s="51" t="str">
        <x:v>F326A4ECA0ECBA67CEFDE22A07FF6AD47E2FDD19B31B93FEF686332A585D0EDC</x:v>
      </x:c>
      <x:c r="K11" s="35" t="n">
        <x:v>25317</x:v>
      </x:c>
      <x:c r="L11" s="35" t="n">
        <x:v>2008</x:v>
      </x:c>
      <x:c r="M11" s="35" t="n">
        <x:v>2026</x:v>
      </x:c>
      <x:c r="N11" s="35" t="n">
        <x:v>2019</x:v>
      </x:c>
      <x:c r="O11" s="35" t="n">
        <x:v>2022</x:v>
      </x:c>
      <x:c r="P11" s="51" t="str">
        <x:v>Control only: fourth-quarter 2019 and 2022 GFSM liability totals are compared but never used as normalized Government Debt values.</x:v>
      </x:c>
    </x:row>
    <x:row r="14" ht="44" customHeight="1">
      <x:c r="A14" s="74" t="str">
        <x:v>methodology_note_id</x:v>
      </x:c>
      <x:c r="B14" s="74" t="str">
        <x:v>effective_date</x:v>
      </x:c>
      <x:c r="C14" s="74" t="str">
        <x:v>affected_dataset</x:v>
      </x:c>
      <x:c r="D14" s="74" t="str">
        <x:v>affected_scope</x:v>
      </x:c>
      <x:c r="E14" s="74" t="str">
        <x:v>note_ka</x:v>
      </x:c>
      <x:c r="F14" s="74" t="str">
        <x:v>note_en</x:v>
      </x:c>
      <x:c r="G14" s="74" t="str">
        <x:v>source_id</x:v>
      </x:c>
    </x:row>
    <x:row r="15" ht="58" customHeight="1">
      <x:c r="A15" s="46" t="str">
        <x:v>government-domestic-2019-budget-organizations</x:v>
      </x:c>
      <x:c r="B15" s="85" t="n">
        <x:v>43466</x:v>
      </x:c>
      <x:c r="C15" s="46" t="str">
        <x:v>stock|actual_service</x:v>
      </x:c>
      <x:c r="D15" s="46" t="str">
        <x:v>domestic</x:v>
      </x:c>
      <x:c r="E15" s="46" t="str">
        <x:v>2019 წლიდან მთავრობის საშინაო ვალი დამატებით მოიცავს საბიუჯეტო ორგანიზაციების სესხის სახით არსებულ ვალს.</x:v>
      </x:c>
      <x:c r="F15" s="46" t="str">
        <x:v>From 2019, domestic Government Debt additionally includes loan debt owed by budgetary organizations.</x:v>
      </x:c>
      <x:c r="G15" s="46" t="str">
        <x:v>mof_public_debt_bulletin_n25</x:v>
      </x:c>
    </x:row>
    <x:row r="16" ht="58" customHeight="1">
      <x:c r="A16" s="48" t="str">
        <x:v>government-domestic-2022-general-government-soes</x:v>
      </x:c>
      <x:c r="B16" s="86" t="n">
        <x:v>44926</x:v>
      </x:c>
      <x:c r="C16" s="48" t="str">
        <x:v>stock|actual_service</x:v>
      </x:c>
      <x:c r="D16" s="48" t="str">
        <x:v>domestic</x:v>
      </x:c>
      <x:c r="E16" s="48" t="str">
        <x:v>2022 წლის დეკემბრიდან გათვალისწინებულია სამთავრობო სექტორის სახელმწიფო საწარმოების სესხის სახით არსებული ვალიც.</x:v>
      </x:c>
      <x:c r="F16" s="48" t="str">
        <x:v>From December 2022, domestic Government Debt also includes loan debt of state-owned enterprises classified in general government.</x:v>
      </x:c>
      <x:c r="G16" s="48" t="str">
        <x:v>mof_public_debt_bulletin_n25</x:v>
      </x:c>
    </x:row>
  </x:sheetData>
  <x:pageMargins left="0.7" right="0.7" top="0.75" bottom="0.75" header="0.3" footer="0.3"/>
  <x:tableParts count="2">
    <x:tablePart xmlns:r="http://schemas.openxmlformats.org/officeDocument/2006/relationships" r:id="R6ed66c3a07054c73"/>
    <x:tablePart xmlns:r="http://schemas.openxmlformats.org/officeDocument/2006/relationships" r:id="R4edc2d1e1ebe4c3c"/>
  </x:tableParts>
</x:worksheet>
</file>