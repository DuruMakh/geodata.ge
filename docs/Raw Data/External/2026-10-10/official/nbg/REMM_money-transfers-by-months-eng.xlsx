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NBG-FILES01\NBG-Shares\Macro\Monetary Statistics\TIME SERIES\WEB\external_sector\Eng\"/>
    </mc:Choice>
  </mc:AlternateContent>
  <bookViews>
    <workbookView xWindow="0" yWindow="0" windowWidth="28800" windowHeight="12180" activeTab="1"/>
  </bookViews>
  <sheets>
    <sheet name="MTR Note" sheetId="7" r:id="rId1"/>
    <sheet name="1999-2026 E" sheetId="6" r:id="rId2"/>
  </sheets>
  <calcPr calcId="162913"/>
</workbook>
</file>

<file path=xl/calcChain.xml><?xml version="1.0" encoding="utf-8"?>
<calcChain xmlns="http://schemas.openxmlformats.org/spreadsheetml/2006/main">
  <c r="BB5" i="6" l="1"/>
  <c r="BC5" i="6" l="1"/>
  <c r="BA5" i="6" l="1"/>
  <c r="AZ5" i="6"/>
  <c r="AX5" i="6" l="1"/>
  <c r="AY5" i="6" l="1"/>
  <c r="AV5" i="6" l="1"/>
  <c r="AW5" i="6" l="1"/>
  <c r="AT5" i="6" l="1"/>
  <c r="AU5" i="6" l="1"/>
  <c r="AS5" i="6" l="1"/>
  <c r="AR5" i="6"/>
</calcChain>
</file>

<file path=xl/sharedStrings.xml><?xml version="1.0" encoding="utf-8"?>
<sst xmlns="http://schemas.openxmlformats.org/spreadsheetml/2006/main" count="87" uniqueCount="35">
  <si>
    <t>Inflow</t>
  </si>
  <si>
    <t>Outflow</t>
  </si>
  <si>
    <t>January</t>
  </si>
  <si>
    <t>February</t>
  </si>
  <si>
    <t>March</t>
  </si>
  <si>
    <t>April</t>
  </si>
  <si>
    <t>May</t>
  </si>
  <si>
    <t>June</t>
  </si>
  <si>
    <t>July</t>
  </si>
  <si>
    <t>August</t>
  </si>
  <si>
    <t>September</t>
  </si>
  <si>
    <t>October</t>
  </si>
  <si>
    <t>November</t>
  </si>
  <si>
    <t>December</t>
  </si>
  <si>
    <t>2010*</t>
  </si>
  <si>
    <t>Period</t>
  </si>
  <si>
    <t>Money transfers, total</t>
  </si>
  <si>
    <r>
      <rPr>
        <b/>
        <sz val="8"/>
        <rFont val="Roboto"/>
      </rPr>
      <t>Source</t>
    </r>
    <r>
      <rPr>
        <sz val="8"/>
        <rFont val="Roboto"/>
      </rPr>
      <t>: The National Bank of Georgia.</t>
    </r>
  </si>
  <si>
    <t>Money Transferts by Months (thousand USD)</t>
  </si>
  <si>
    <r>
      <rPr>
        <b/>
        <sz val="8"/>
        <rFont val="Roboto"/>
      </rPr>
      <t>Note</t>
    </r>
    <r>
      <rPr>
        <sz val="8"/>
        <rFont val="Roboto"/>
      </rPr>
      <t>: * From January 2010 the data on money transfers for microfinance institutions were added to the banking sector appropriate data.</t>
    </r>
  </si>
  <si>
    <t>Money transfers</t>
  </si>
  <si>
    <t>Source</t>
  </si>
  <si>
    <t>Money transfers inflow and outflow data are compiled based on the monthly reports submitted through the SebStat system by those resident commercial banks and microfinance organizations involved in fast money transfer schemes as agents or sub-agents.</t>
  </si>
  <si>
    <t>Coverage</t>
  </si>
  <si>
    <t>The data cover total volumes of money transferred by all customers to Georgia from abroad and from Georgia to abroad during the reporting month, through fast money transfer systems.</t>
  </si>
  <si>
    <t>Dissemintaion</t>
  </si>
  <si>
    <t>Figures are published on the 15th calendar day following the end of the reporting period. If the 15th is a non-working day, publication takes place on the next working day.</t>
  </si>
  <si>
    <t>Frequency</t>
  </si>
  <si>
    <t>Monthly.</t>
  </si>
  <si>
    <t>Units</t>
  </si>
  <si>
    <t>Thousand US dollars.</t>
  </si>
  <si>
    <t xml:space="preserve">
Definitions</t>
  </si>
  <si>
    <t>Money Transfers show a rapid transfer of funds from the sender to the beneficiary executed through electronic money transfer systems (e.g., MoneyGram, Western Union, etc.). Money transfers denominated in various currencies are converted into their US Dollar equivalent according to the month-average official ecxhange rates.</t>
  </si>
  <si>
    <t>Source Link</t>
  </si>
  <si>
    <t xml:space="preserve">https://nbg.gov.ge/fm/სტატისტიკა/external_sector/eng/money-transfers-by-months-eng.xlsx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</si>
</sst>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0_);_(* \(#,##0.0\);_(* &quot;-&quot;??_);_(@_)"/>
    <numFmt numFmtId="165" formatCode="_-* #,##0.00\ _₾_-;\-* #,##0.00\ _₾_-;_-* &quot;-&quot;??\ _₾_-;_-@_-"/>
    <numFmt numFmtId="166" formatCode="#,##0.0_ ;\-#,##0.0\ "/>
    <numFmt numFmtId="167" formatCode="_(* #,##0.0_);_(* \(#,##0.0\);_(* &quot;-&quot;?_);_(@_)"/>
    <numFmt numFmtId="168" formatCode="_(* #,##0.0000000000000_);_(* \(#,##0.0000000000000\);_(* &quot;-&quot;?_);_(@_)"/>
  </numFmts>
  <fonts count="5" x14ac:knownFonts="1">
    <font>
      <sz val="10"/>
      <name val="Arial"/>
    </font>
    <font>
      <sz val="10"/>
      <name val="Arial"/>
      <family val="2"/>
    </font>
    <font>
      <b/>
      <sz val="8"/>
      <name val="Roboto"/>
    </font>
    <font>
      <sz val="8"/>
      <name val="Roboto"/>
    </font>
    <font>
      <b/>
      <sz val="10"/>
      <name val="Arial"/>
      <family val="2"/>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theme="0" tint="-0.499984740745262"/>
      </top>
      <bottom style="thin">
        <color theme="0" tint="-0.499984740745262"/>
      </bottom>
      <diagonal/>
    </border>
    <border>
      <left/>
      <right/>
      <top style="thin">
        <color theme="0" tint="-0.499984740745262"/>
      </top>
      <bottom/>
      <diagonal/>
    </border>
  </borders>
  <cellStyleXfs count="5">
    <xf numFmtId="0" fontId="0"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cellStyleXfs>
  <cellXfs count="36">
    <xf numFmtId="0" fontId="0" fillId="0" borderId="0" xfId="0"/>
    <xf numFmtId="0" fontId="3" fillId="2" borderId="1" xfId="0" applyFont="1" applyFill="1" applyBorder="1" applyAlignment="1">
      <alignment horizontal="center" vertical="center"/>
    </xf>
    <xf numFmtId="0" fontId="2" fillId="2" borderId="0" xfId="0" applyFont="1" applyFill="1" applyBorder="1" applyAlignment="1">
      <alignment horizontal="left"/>
    </xf>
    <xf numFmtId="0" fontId="3" fillId="2" borderId="0" xfId="0" applyFont="1" applyFill="1" applyBorder="1"/>
    <xf numFmtId="164" fontId="2" fillId="2" borderId="0" xfId="1" applyNumberFormat="1" applyFont="1" applyFill="1" applyBorder="1" applyAlignment="1">
      <alignment horizontal="right"/>
    </xf>
    <xf numFmtId="164" fontId="3" fillId="2" borderId="0" xfId="1" applyNumberFormat="1" applyFont="1" applyFill="1" applyBorder="1"/>
    <xf numFmtId="0" fontId="2" fillId="2" borderId="0" xfId="0" applyFont="1" applyFill="1" applyBorder="1" applyAlignment="1">
      <alignment vertical="center" wrapText="1"/>
    </xf>
    <xf numFmtId="0" fontId="2" fillId="2" borderId="0" xfId="0" applyFont="1" applyFill="1" applyBorder="1" applyAlignment="1"/>
    <xf numFmtId="0" fontId="3" fillId="2" borderId="2" xfId="0" applyFont="1" applyFill="1" applyBorder="1"/>
    <xf numFmtId="164" fontId="3" fillId="2" borderId="2" xfId="1" applyNumberFormat="1" applyFont="1" applyFill="1" applyBorder="1"/>
    <xf numFmtId="0" fontId="3" fillId="2" borderId="0" xfId="0" applyFont="1" applyFill="1" applyBorder="1" applyAlignment="1">
      <alignment vertical="center" wrapText="1"/>
    </xf>
    <xf numFmtId="165" fontId="3" fillId="2" borderId="0" xfId="0" applyNumberFormat="1" applyFont="1" applyFill="1" applyBorder="1"/>
    <xf numFmtId="0" fontId="3" fillId="2" borderId="1" xfId="0" applyFont="1" applyFill="1" applyBorder="1" applyAlignment="1">
      <alignment horizontal="center" vertical="center"/>
    </xf>
    <xf numFmtId="164" fontId="2" fillId="2" borderId="0" xfId="1" applyNumberFormat="1" applyFont="1" applyFill="1" applyBorder="1" applyAlignment="1">
      <alignment horizontal="right" vertical="center"/>
    </xf>
    <xf numFmtId="164" fontId="2" fillId="2" borderId="5" xfId="1" applyNumberFormat="1" applyFont="1" applyFill="1" applyBorder="1" applyAlignment="1">
      <alignment horizontal="right" vertical="center"/>
    </xf>
    <xf numFmtId="164" fontId="3" fillId="2" borderId="0" xfId="1" applyNumberFormat="1" applyFont="1" applyFill="1" applyBorder="1" applyAlignment="1">
      <alignment vertical="center"/>
    </xf>
    <xf numFmtId="164" fontId="3" fillId="2" borderId="4" xfId="1" applyNumberFormat="1" applyFont="1" applyFill="1" applyBorder="1" applyAlignment="1">
      <alignment vertical="center"/>
    </xf>
    <xf numFmtId="164" fontId="3" fillId="2" borderId="2" xfId="1" applyNumberFormat="1" applyFont="1" applyFill="1" applyBorder="1" applyAlignment="1">
      <alignment vertical="center"/>
    </xf>
    <xf numFmtId="164" fontId="3" fillId="2" borderId="3" xfId="1" applyNumberFormat="1" applyFont="1" applyFill="1" applyBorder="1" applyAlignment="1">
      <alignment vertical="center"/>
    </xf>
    <xf numFmtId="164" fontId="2" fillId="2" borderId="6" xfId="1" applyNumberFormat="1" applyFont="1" applyFill="1" applyBorder="1" applyAlignment="1">
      <alignment horizontal="right" vertical="center"/>
    </xf>
    <xf numFmtId="164" fontId="3" fillId="2" borderId="7" xfId="1" applyNumberFormat="1" applyFont="1" applyFill="1" applyBorder="1" applyAlignment="1">
      <alignment vertical="center"/>
    </xf>
    <xf numFmtId="164" fontId="3" fillId="2" borderId="8" xfId="1" applyNumberFormat="1" applyFont="1" applyFill="1" applyBorder="1" applyAlignment="1">
      <alignment vertical="center"/>
    </xf>
    <xf numFmtId="0" fontId="1" fillId="0" borderId="0" xfId="2"/>
    <xf numFmtId="0" fontId="2" fillId="0" borderId="9" xfId="2" applyFont="1" applyBorder="1" applyAlignment="1">
      <alignment horizontal="left" vertical="center" indent="1"/>
    </xf>
    <xf numFmtId="0" fontId="3" fillId="0" borderId="1" xfId="2" applyFont="1" applyBorder="1" applyAlignment="1">
      <alignment horizontal="left" vertical="center" wrapText="1"/>
    </xf>
    <xf numFmtId="0" fontId="2" fillId="0" borderId="7" xfId="2" applyFont="1" applyBorder="1" applyAlignment="1">
      <alignment horizontal="left" vertical="center" indent="1"/>
    </xf>
    <xf numFmtId="0" fontId="2" fillId="0" borderId="9" xfId="2" applyFont="1" applyBorder="1" applyAlignment="1">
      <alignment horizontal="left" vertical="top" wrapText="1" indent="1"/>
    </xf>
    <xf numFmtId="0" fontId="3" fillId="0" borderId="1" xfId="2" applyFont="1" applyFill="1" applyBorder="1" applyAlignment="1">
      <alignment horizontal="left" vertical="top" wrapText="1"/>
    </xf>
    <xf numFmtId="0" fontId="1" fillId="0" borderId="10" xfId="2" applyBorder="1"/>
    <xf numFmtId="166" fontId="2" fillId="2" borderId="0" xfId="0" applyNumberFormat="1" applyFont="1" applyFill="1"/>
    <xf numFmtId="0" fontId="2" fillId="2" borderId="0" xfId="0" applyFont="1" applyFill="1"/>
    <xf numFmtId="167" fontId="3" fillId="2" borderId="0" xfId="0" applyNumberFormat="1" applyFont="1" applyFill="1" applyBorder="1"/>
    <xf numFmtId="168" fontId="3" fillId="2" borderId="0" xfId="0" applyNumberFormat="1" applyFont="1" applyFill="1" applyBorder="1"/>
    <xf numFmtId="43" fontId="3" fillId="2" borderId="0" xfId="0" applyNumberFormat="1" applyFont="1" applyFill="1" applyBorder="1"/>
    <xf numFmtId="0" fontId="4" fillId="0" borderId="0" xfId="2" applyFont="1" applyAlignment="1">
      <alignment horizontal="left"/>
    </xf>
    <xf numFmtId="0" fontId="3" fillId="2" borderId="1" xfId="0" applyFont="1" applyFill="1" applyBorder="1" applyAlignment="1">
      <alignment horizontal="center" vertical="center"/>
    </xf>
  </cellXfs>
  <cellStyles count="5">
    <cellStyle name="Comma" xfId="1" builtinId="3"/>
    <cellStyle name="Comma 2" xfId="4"/>
    <cellStyle name="Normal" xfId="0" builtinId="0"/>
    <cellStyle name="Normal 2" xfId="2"/>
    <cellStyle name="Normal 2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topLeftCell="A7" zoomScale="130" zoomScaleNormal="130" workbookViewId="0">
      <selection activeCell="B18" sqref="B18"/>
    </sheetView>
  </sheetViews>
  <sheetFormatPr defaultColWidth="9.1796875" defaultRowHeight="12.5" x14ac:dyDescent="0.25"/>
  <cols>
    <col min="1" max="1" width="13.1796875" style="22" bestFit="1" customWidth="1"/>
    <col min="2" max="2" width="80" style="22" customWidth="1"/>
    <col min="3" max="3" width="63.453125" style="22" customWidth="1"/>
    <col min="4" max="16384" width="9.1796875" style="22"/>
  </cols>
  <sheetData>
    <row r="1" spans="1:2" ht="16.5" customHeight="1" x14ac:dyDescent="0.3">
      <c r="A1" s="34" t="s">
        <v>20</v>
      </c>
      <c r="B1" s="34"/>
    </row>
    <row r="2" spans="1:2" ht="44.25" customHeight="1" x14ac:dyDescent="0.25">
      <c r="A2" s="23" t="s">
        <v>21</v>
      </c>
      <c r="B2" s="24" t="s">
        <v>22</v>
      </c>
    </row>
    <row r="3" spans="1:2" ht="28.5" customHeight="1" x14ac:dyDescent="0.25">
      <c r="A3" s="23" t="s">
        <v>23</v>
      </c>
      <c r="B3" s="24" t="s">
        <v>24</v>
      </c>
    </row>
    <row r="4" spans="1:2" ht="28.5" customHeight="1" x14ac:dyDescent="0.25">
      <c r="A4" s="25" t="s">
        <v>25</v>
      </c>
      <c r="B4" s="24" t="s">
        <v>26</v>
      </c>
    </row>
    <row r="5" spans="1:2" ht="18" customHeight="1" x14ac:dyDescent="0.25">
      <c r="A5" s="23" t="s">
        <v>27</v>
      </c>
      <c r="B5" s="24" t="s">
        <v>28</v>
      </c>
    </row>
    <row r="6" spans="1:2" ht="18" customHeight="1" x14ac:dyDescent="0.25">
      <c r="A6" s="23" t="s">
        <v>29</v>
      </c>
      <c r="B6" s="24" t="s">
        <v>30</v>
      </c>
    </row>
    <row r="7" spans="1:2" ht="41.25" customHeight="1" x14ac:dyDescent="0.25">
      <c r="A7" s="26" t="s">
        <v>31</v>
      </c>
      <c r="B7" s="27" t="s">
        <v>32</v>
      </c>
    </row>
    <row r="8" spans="1:2" ht="18" customHeight="1" x14ac:dyDescent="0.25">
      <c r="A8" s="23" t="s">
        <v>33</v>
      </c>
      <c r="B8" s="24" t="s">
        <v>34</v>
      </c>
    </row>
    <row r="9" spans="1:2" x14ac:dyDescent="0.25">
      <c r="A9" s="28"/>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H21"/>
  <sheetViews>
    <sheetView tabSelected="1" workbookViewId="0">
      <pane xSplit="1" ySplit="4" topLeftCell="AQ5" activePane="bottomRight" state="frozen"/>
      <selection pane="topRight" activeCell="B1" sqref="B1"/>
      <selection pane="bottomLeft" activeCell="A4" sqref="A4"/>
      <selection pane="bottomRight" activeCell="BB21" sqref="BB21"/>
    </sheetView>
  </sheetViews>
  <sheetFormatPr defaultColWidth="9.1796875" defaultRowHeight="11.5" x14ac:dyDescent="0.3"/>
  <cols>
    <col min="1" max="1" width="27.1796875" style="3" customWidth="1"/>
    <col min="2" max="51" width="10" style="3" customWidth="1"/>
    <col min="52" max="52" width="10.26953125" style="3" bestFit="1" customWidth="1"/>
    <col min="53" max="53" width="10.453125" style="3" bestFit="1" customWidth="1"/>
    <col min="54" max="54" width="10.26953125" style="3" bestFit="1" customWidth="1"/>
    <col min="55" max="55" width="10.453125" style="3" bestFit="1" customWidth="1"/>
    <col min="56" max="58" width="9.1796875" style="3"/>
    <col min="59" max="59" width="15.26953125" style="3" bestFit="1" customWidth="1"/>
    <col min="60" max="16384" width="9.1796875" style="3"/>
  </cols>
  <sheetData>
    <row r="1" spans="1:60" ht="27" customHeight="1" x14ac:dyDescent="0.3">
      <c r="A1" s="6" t="s">
        <v>18</v>
      </c>
      <c r="B1" s="7"/>
      <c r="C1" s="7"/>
      <c r="D1" s="7"/>
      <c r="E1" s="7"/>
      <c r="F1" s="7"/>
    </row>
    <row r="2" spans="1:60" ht="14.15" customHeight="1" x14ac:dyDescent="0.3">
      <c r="A2" s="6"/>
      <c r="B2" s="7"/>
      <c r="C2" s="7"/>
      <c r="D2" s="7"/>
      <c r="E2" s="7"/>
      <c r="F2" s="7"/>
    </row>
    <row r="3" spans="1:60" ht="15.65" customHeight="1" x14ac:dyDescent="0.3">
      <c r="A3" s="35" t="s">
        <v>15</v>
      </c>
      <c r="B3" s="35">
        <v>1999</v>
      </c>
      <c r="C3" s="35"/>
      <c r="D3" s="35">
        <v>2000</v>
      </c>
      <c r="E3" s="35"/>
      <c r="F3" s="35">
        <v>2001</v>
      </c>
      <c r="G3" s="35"/>
      <c r="H3" s="35">
        <v>2002</v>
      </c>
      <c r="I3" s="35"/>
      <c r="J3" s="35">
        <v>2003</v>
      </c>
      <c r="K3" s="35"/>
      <c r="L3" s="35">
        <v>2004</v>
      </c>
      <c r="M3" s="35"/>
      <c r="N3" s="35">
        <v>2005</v>
      </c>
      <c r="O3" s="35"/>
      <c r="P3" s="35">
        <v>2006</v>
      </c>
      <c r="Q3" s="35"/>
      <c r="R3" s="35">
        <v>2007</v>
      </c>
      <c r="S3" s="35"/>
      <c r="T3" s="35">
        <v>2008</v>
      </c>
      <c r="U3" s="35"/>
      <c r="V3" s="35">
        <v>2009</v>
      </c>
      <c r="W3" s="35"/>
      <c r="X3" s="35" t="s">
        <v>14</v>
      </c>
      <c r="Y3" s="35"/>
      <c r="Z3" s="35">
        <v>2011</v>
      </c>
      <c r="AA3" s="35"/>
      <c r="AB3" s="35">
        <v>2012</v>
      </c>
      <c r="AC3" s="35"/>
      <c r="AD3" s="35">
        <v>2013</v>
      </c>
      <c r="AE3" s="35"/>
      <c r="AF3" s="35">
        <v>2014</v>
      </c>
      <c r="AG3" s="35"/>
      <c r="AH3" s="35">
        <v>2015</v>
      </c>
      <c r="AI3" s="35"/>
      <c r="AJ3" s="35">
        <v>2016</v>
      </c>
      <c r="AK3" s="35"/>
      <c r="AL3" s="35">
        <v>2017</v>
      </c>
      <c r="AM3" s="35"/>
      <c r="AN3" s="35">
        <v>2018</v>
      </c>
      <c r="AO3" s="35"/>
      <c r="AP3" s="35">
        <v>2019</v>
      </c>
      <c r="AQ3" s="35"/>
      <c r="AR3" s="35">
        <v>2020</v>
      </c>
      <c r="AS3" s="35"/>
      <c r="AT3" s="35">
        <v>2021</v>
      </c>
      <c r="AU3" s="35"/>
      <c r="AV3" s="35">
        <v>2022</v>
      </c>
      <c r="AW3" s="35"/>
      <c r="AX3" s="35">
        <v>2023</v>
      </c>
      <c r="AY3" s="35"/>
      <c r="AZ3" s="35">
        <v>2025</v>
      </c>
      <c r="BA3" s="35"/>
      <c r="BB3" s="35">
        <v>2026</v>
      </c>
      <c r="BC3" s="35"/>
    </row>
    <row r="4" spans="1:60" ht="15.65" customHeight="1" x14ac:dyDescent="0.3">
      <c r="A4" s="35"/>
      <c r="B4" s="1" t="s">
        <v>0</v>
      </c>
      <c r="C4" s="1" t="s">
        <v>1</v>
      </c>
      <c r="D4" s="1" t="s">
        <v>0</v>
      </c>
      <c r="E4" s="1" t="s">
        <v>1</v>
      </c>
      <c r="F4" s="1" t="s">
        <v>0</v>
      </c>
      <c r="G4" s="1" t="s">
        <v>1</v>
      </c>
      <c r="H4" s="1" t="s">
        <v>0</v>
      </c>
      <c r="I4" s="1" t="s">
        <v>1</v>
      </c>
      <c r="J4" s="1" t="s">
        <v>0</v>
      </c>
      <c r="K4" s="1" t="s">
        <v>1</v>
      </c>
      <c r="L4" s="1" t="s">
        <v>0</v>
      </c>
      <c r="M4" s="1" t="s">
        <v>1</v>
      </c>
      <c r="N4" s="1" t="s">
        <v>0</v>
      </c>
      <c r="O4" s="1" t="s">
        <v>1</v>
      </c>
      <c r="P4" s="1" t="s">
        <v>0</v>
      </c>
      <c r="Q4" s="1" t="s">
        <v>1</v>
      </c>
      <c r="R4" s="1" t="s">
        <v>0</v>
      </c>
      <c r="S4" s="1" t="s">
        <v>1</v>
      </c>
      <c r="T4" s="1" t="s">
        <v>0</v>
      </c>
      <c r="U4" s="1" t="s">
        <v>1</v>
      </c>
      <c r="V4" s="1" t="s">
        <v>0</v>
      </c>
      <c r="W4" s="1" t="s">
        <v>1</v>
      </c>
      <c r="X4" s="1" t="s">
        <v>0</v>
      </c>
      <c r="Y4" s="1" t="s">
        <v>1</v>
      </c>
      <c r="Z4" s="1" t="s">
        <v>0</v>
      </c>
      <c r="AA4" s="1" t="s">
        <v>1</v>
      </c>
      <c r="AB4" s="1" t="s">
        <v>0</v>
      </c>
      <c r="AC4" s="1" t="s">
        <v>1</v>
      </c>
      <c r="AD4" s="1" t="s">
        <v>0</v>
      </c>
      <c r="AE4" s="1" t="s">
        <v>1</v>
      </c>
      <c r="AF4" s="1" t="s">
        <v>0</v>
      </c>
      <c r="AG4" s="1" t="s">
        <v>1</v>
      </c>
      <c r="AH4" s="1" t="s">
        <v>0</v>
      </c>
      <c r="AI4" s="1" t="s">
        <v>1</v>
      </c>
      <c r="AJ4" s="1" t="s">
        <v>0</v>
      </c>
      <c r="AK4" s="1" t="s">
        <v>1</v>
      </c>
      <c r="AL4" s="1" t="s">
        <v>0</v>
      </c>
      <c r="AM4" s="1" t="s">
        <v>1</v>
      </c>
      <c r="AN4" s="1" t="s">
        <v>0</v>
      </c>
      <c r="AO4" s="1" t="s">
        <v>1</v>
      </c>
      <c r="AP4" s="1" t="s">
        <v>0</v>
      </c>
      <c r="AQ4" s="1" t="s">
        <v>1</v>
      </c>
      <c r="AR4" s="1" t="s">
        <v>0</v>
      </c>
      <c r="AS4" s="1" t="s">
        <v>1</v>
      </c>
      <c r="AT4" s="1" t="s">
        <v>0</v>
      </c>
      <c r="AU4" s="1" t="s">
        <v>1</v>
      </c>
      <c r="AV4" s="1" t="s">
        <v>0</v>
      </c>
      <c r="AW4" s="1" t="s">
        <v>1</v>
      </c>
      <c r="AX4" s="1" t="s">
        <v>0</v>
      </c>
      <c r="AY4" s="1" t="s">
        <v>1</v>
      </c>
      <c r="AZ4" s="12" t="s">
        <v>0</v>
      </c>
      <c r="BA4" s="12" t="s">
        <v>1</v>
      </c>
      <c r="BB4" s="12" t="s">
        <v>0</v>
      </c>
      <c r="BC4" s="12" t="s">
        <v>1</v>
      </c>
    </row>
    <row r="5" spans="1:60" ht="13" customHeight="1" x14ac:dyDescent="0.3">
      <c r="A5" s="2" t="s">
        <v>16</v>
      </c>
      <c r="B5" s="4">
        <v>29337.579000000005</v>
      </c>
      <c r="C5" s="4">
        <v>4910.3450000000003</v>
      </c>
      <c r="D5" s="4">
        <v>63269.343000000001</v>
      </c>
      <c r="E5" s="4">
        <v>10398.643</v>
      </c>
      <c r="F5" s="4">
        <v>69559.235000000015</v>
      </c>
      <c r="G5" s="4">
        <v>11470.892</v>
      </c>
      <c r="H5" s="4">
        <v>96501.013999999996</v>
      </c>
      <c r="I5" s="4">
        <v>16865.798000000003</v>
      </c>
      <c r="J5" s="4">
        <v>196633.55599999998</v>
      </c>
      <c r="K5" s="4">
        <v>30818.830999999998</v>
      </c>
      <c r="L5" s="4">
        <v>259123</v>
      </c>
      <c r="M5" s="4">
        <v>46438</v>
      </c>
      <c r="N5" s="4">
        <v>403134</v>
      </c>
      <c r="O5" s="4">
        <v>87709</v>
      </c>
      <c r="P5" s="4">
        <v>553249.52822753694</v>
      </c>
      <c r="Q5" s="4">
        <v>132764.31003295945</v>
      </c>
      <c r="R5" s="4">
        <v>866155.6634955901</v>
      </c>
      <c r="S5" s="4">
        <v>110749.9162061337</v>
      </c>
      <c r="T5" s="4">
        <v>1002121.9231483958</v>
      </c>
      <c r="U5" s="4">
        <v>84254.224558651957</v>
      </c>
      <c r="V5" s="4">
        <v>841774.97346081457</v>
      </c>
      <c r="W5" s="4">
        <v>75133.126665765958</v>
      </c>
      <c r="X5" s="4">
        <v>1052226.6503290739</v>
      </c>
      <c r="Y5" s="4">
        <v>103344.77720300703</v>
      </c>
      <c r="Z5" s="4">
        <v>1268127.2906574765</v>
      </c>
      <c r="AA5" s="4">
        <v>100255.38980681938</v>
      </c>
      <c r="AB5" s="4">
        <v>1334522</v>
      </c>
      <c r="AC5" s="4">
        <v>108303</v>
      </c>
      <c r="AD5" s="4">
        <v>1477050</v>
      </c>
      <c r="AE5" s="4">
        <v>155209</v>
      </c>
      <c r="AF5" s="4">
        <v>1440405</v>
      </c>
      <c r="AG5" s="4">
        <v>178358</v>
      </c>
      <c r="AH5" s="4">
        <v>1079965</v>
      </c>
      <c r="AI5" s="4">
        <v>170841</v>
      </c>
      <c r="AJ5" s="4">
        <v>1153392</v>
      </c>
      <c r="AK5" s="4">
        <v>194138</v>
      </c>
      <c r="AL5" s="4">
        <v>1387250</v>
      </c>
      <c r="AM5" s="4">
        <v>209889</v>
      </c>
      <c r="AN5" s="4">
        <v>1579667</v>
      </c>
      <c r="AO5" s="4">
        <v>229746</v>
      </c>
      <c r="AP5" s="4">
        <v>1733317.3100000003</v>
      </c>
      <c r="AQ5" s="4">
        <v>237424.19600000008</v>
      </c>
      <c r="AR5" s="4">
        <f t="shared" ref="AR5:AY5" si="0">SUM(AR6:AR17)</f>
        <v>1885981.9350000001</v>
      </c>
      <c r="AS5" s="4">
        <f t="shared" si="0"/>
        <v>246864.18799999997</v>
      </c>
      <c r="AT5" s="4">
        <f t="shared" si="0"/>
        <v>2349563.7320022411</v>
      </c>
      <c r="AU5" s="4">
        <f t="shared" si="0"/>
        <v>316864.52969100198</v>
      </c>
      <c r="AV5" s="4">
        <f>SUM(AV6:AV17)</f>
        <v>4372408.9609548524</v>
      </c>
      <c r="AW5" s="4">
        <f t="shared" si="0"/>
        <v>343482.08285123797</v>
      </c>
      <c r="AX5" s="4">
        <f>SUM(AX6:AX17)</f>
        <v>4146593.6401204239</v>
      </c>
      <c r="AY5" s="4">
        <f t="shared" si="0"/>
        <v>356509.79083398212</v>
      </c>
      <c r="AZ5" s="13">
        <f>SUM(AZ6:AZ17)</f>
        <v>3648970.3314927197</v>
      </c>
      <c r="BA5" s="14">
        <f>SUM(BA6:BA17)</f>
        <v>420452.89472861611</v>
      </c>
      <c r="BB5" s="19">
        <f>SUM(BB6:BB17)</f>
        <v>2549933.192162985</v>
      </c>
      <c r="BC5" s="14">
        <f>SUM(BC6:BC17)</f>
        <v>285508.89923908585</v>
      </c>
    </row>
    <row r="6" spans="1:60" ht="13" customHeight="1" x14ac:dyDescent="0.3">
      <c r="A6" s="3" t="s">
        <v>2</v>
      </c>
      <c r="B6" s="5">
        <v>0</v>
      </c>
      <c r="C6" s="5">
        <v>0</v>
      </c>
      <c r="D6" s="5">
        <v>4740.3320000000003</v>
      </c>
      <c r="E6" s="5">
        <v>607.00800000000004</v>
      </c>
      <c r="F6" s="5">
        <v>4605.4610000000002</v>
      </c>
      <c r="G6" s="5">
        <v>688.13300000000004</v>
      </c>
      <c r="H6" s="5">
        <v>5378.076</v>
      </c>
      <c r="I6" s="5">
        <v>1257.0139999999999</v>
      </c>
      <c r="J6" s="5">
        <v>9196.3649999999998</v>
      </c>
      <c r="K6" s="5">
        <v>1316.421</v>
      </c>
      <c r="L6" s="5">
        <v>14037</v>
      </c>
      <c r="M6" s="5">
        <v>1861</v>
      </c>
      <c r="N6" s="5">
        <v>26030</v>
      </c>
      <c r="O6" s="5">
        <v>4231</v>
      </c>
      <c r="P6" s="5">
        <v>36915.343139999997</v>
      </c>
      <c r="Q6" s="5">
        <v>11083.371660000001</v>
      </c>
      <c r="R6" s="5">
        <v>51504</v>
      </c>
      <c r="S6" s="5">
        <v>4956</v>
      </c>
      <c r="T6" s="5">
        <v>58478.236749118325</v>
      </c>
      <c r="U6" s="5">
        <v>5492.4224043700933</v>
      </c>
      <c r="V6" s="5">
        <v>50740.530620317084</v>
      </c>
      <c r="W6" s="5">
        <v>5469.8342308954234</v>
      </c>
      <c r="X6" s="5">
        <v>65282.094117719673</v>
      </c>
      <c r="Y6" s="5">
        <v>5630.3266453462247</v>
      </c>
      <c r="Z6" s="5">
        <v>74423.487443277641</v>
      </c>
      <c r="AA6" s="5">
        <v>9231.5161612047923</v>
      </c>
      <c r="AB6" s="5">
        <v>84424</v>
      </c>
      <c r="AC6" s="5">
        <v>6879</v>
      </c>
      <c r="AD6" s="5">
        <v>94161</v>
      </c>
      <c r="AE6" s="5">
        <v>9475</v>
      </c>
      <c r="AF6" s="5">
        <v>98402</v>
      </c>
      <c r="AG6" s="5">
        <v>12044</v>
      </c>
      <c r="AH6" s="5">
        <v>75450</v>
      </c>
      <c r="AI6" s="5">
        <v>12541</v>
      </c>
      <c r="AJ6" s="5">
        <v>66572</v>
      </c>
      <c r="AK6" s="5">
        <v>11886</v>
      </c>
      <c r="AL6" s="5">
        <v>85630</v>
      </c>
      <c r="AM6" s="5">
        <v>13481</v>
      </c>
      <c r="AN6" s="5">
        <v>110091</v>
      </c>
      <c r="AO6" s="5">
        <v>15011</v>
      </c>
      <c r="AP6" s="5">
        <v>115693</v>
      </c>
      <c r="AQ6" s="5">
        <v>15506</v>
      </c>
      <c r="AR6" s="5">
        <v>125635.70299999999</v>
      </c>
      <c r="AS6" s="5">
        <v>18465.298999999992</v>
      </c>
      <c r="AT6" s="5">
        <v>149753.79399999991</v>
      </c>
      <c r="AU6" s="5">
        <v>17230.537999999982</v>
      </c>
      <c r="AV6" s="5">
        <v>168840.49690643503</v>
      </c>
      <c r="AW6" s="5">
        <v>23320.709307925998</v>
      </c>
      <c r="AX6" s="5">
        <v>444964.00205716596</v>
      </c>
      <c r="AY6" s="5">
        <v>26273.913364729986</v>
      </c>
      <c r="AZ6" s="15">
        <v>242439.76386344503</v>
      </c>
      <c r="BA6" s="16">
        <v>28286.467765583009</v>
      </c>
      <c r="BB6" s="20">
        <v>282636.85688237014</v>
      </c>
      <c r="BC6" s="16">
        <v>31159.451710426001</v>
      </c>
    </row>
    <row r="7" spans="1:60" ht="13" customHeight="1" x14ac:dyDescent="0.3">
      <c r="A7" s="3" t="s">
        <v>3</v>
      </c>
      <c r="B7" s="5">
        <v>0</v>
      </c>
      <c r="C7" s="5">
        <v>0</v>
      </c>
      <c r="D7" s="5">
        <v>3656.8440000000001</v>
      </c>
      <c r="E7" s="5">
        <v>698.06600000000003</v>
      </c>
      <c r="F7" s="5">
        <v>4824.2240000000002</v>
      </c>
      <c r="G7" s="5">
        <v>885.90099999999995</v>
      </c>
      <c r="H7" s="5">
        <v>5468.7690000000002</v>
      </c>
      <c r="I7" s="5">
        <v>988.76300000000003</v>
      </c>
      <c r="J7" s="5">
        <v>7938.9960000000001</v>
      </c>
      <c r="K7" s="5">
        <v>1361.453</v>
      </c>
      <c r="L7" s="5">
        <v>14718</v>
      </c>
      <c r="M7" s="5">
        <v>2215</v>
      </c>
      <c r="N7" s="5">
        <v>22467</v>
      </c>
      <c r="O7" s="5">
        <v>3344</v>
      </c>
      <c r="P7" s="5">
        <v>27648.98201</v>
      </c>
      <c r="Q7" s="5">
        <v>7777.4233099999983</v>
      </c>
      <c r="R7" s="5">
        <v>50937</v>
      </c>
      <c r="S7" s="5">
        <v>6196</v>
      </c>
      <c r="T7" s="5">
        <v>65347.571913881955</v>
      </c>
      <c r="U7" s="5">
        <v>6373.9641592457128</v>
      </c>
      <c r="V7" s="5">
        <v>52342.796834622321</v>
      </c>
      <c r="W7" s="5">
        <v>5720.8138889700731</v>
      </c>
      <c r="X7" s="5">
        <v>71125.689935671486</v>
      </c>
      <c r="Y7" s="5">
        <v>6093.6130816864043</v>
      </c>
      <c r="Z7" s="5">
        <v>82456.321698559987</v>
      </c>
      <c r="AA7" s="5">
        <v>9604.4253716800013</v>
      </c>
      <c r="AB7" s="5">
        <v>96052</v>
      </c>
      <c r="AC7" s="5">
        <v>7548</v>
      </c>
      <c r="AD7" s="5">
        <v>103637</v>
      </c>
      <c r="AE7" s="5">
        <v>10814</v>
      </c>
      <c r="AF7" s="5">
        <v>104688</v>
      </c>
      <c r="AG7" s="5">
        <v>12632</v>
      </c>
      <c r="AH7" s="5">
        <v>81987</v>
      </c>
      <c r="AI7" s="5">
        <v>14604</v>
      </c>
      <c r="AJ7" s="5">
        <v>79860</v>
      </c>
      <c r="AK7" s="5">
        <v>15689</v>
      </c>
      <c r="AL7" s="5">
        <v>94732</v>
      </c>
      <c r="AM7" s="5">
        <v>14595</v>
      </c>
      <c r="AN7" s="5">
        <v>113843</v>
      </c>
      <c r="AO7" s="5">
        <v>17989</v>
      </c>
      <c r="AP7" s="5">
        <v>125467.81199999995</v>
      </c>
      <c r="AQ7" s="5">
        <v>17737.613000000016</v>
      </c>
      <c r="AR7" s="5">
        <v>137325.46900000007</v>
      </c>
      <c r="AS7" s="5">
        <v>21711.480999999992</v>
      </c>
      <c r="AT7" s="5">
        <v>161382.28200000001</v>
      </c>
      <c r="AU7" s="5">
        <v>20968.191999999999</v>
      </c>
      <c r="AV7" s="5">
        <v>183418.77701211814</v>
      </c>
      <c r="AW7" s="5">
        <v>26744.31164051401</v>
      </c>
      <c r="AX7" s="5">
        <v>372328.33622895286</v>
      </c>
      <c r="AY7" s="5">
        <v>27596.110518561021</v>
      </c>
      <c r="AZ7" s="15">
        <v>252282.09262711098</v>
      </c>
      <c r="BA7" s="16">
        <v>28709.103567921007</v>
      </c>
      <c r="BB7" s="20">
        <v>295319.20659145893</v>
      </c>
      <c r="BC7" s="16">
        <v>32966.821971693971</v>
      </c>
    </row>
    <row r="8" spans="1:60" ht="13" customHeight="1" x14ac:dyDescent="0.3">
      <c r="A8" s="3" t="s">
        <v>4</v>
      </c>
      <c r="B8" s="5">
        <v>0</v>
      </c>
      <c r="C8" s="5">
        <v>0</v>
      </c>
      <c r="D8" s="5">
        <v>4596.4920000000002</v>
      </c>
      <c r="E8" s="5">
        <v>743.01099999999997</v>
      </c>
      <c r="F8" s="5">
        <v>5434.6350000000002</v>
      </c>
      <c r="G8" s="5">
        <v>948.03399999999999</v>
      </c>
      <c r="H8" s="5">
        <v>7403.7879999999996</v>
      </c>
      <c r="I8" s="5">
        <v>1279.4069999999999</v>
      </c>
      <c r="J8" s="5">
        <v>16507.878000000001</v>
      </c>
      <c r="K8" s="5">
        <v>2477.9110000000001</v>
      </c>
      <c r="L8" s="5">
        <v>18321</v>
      </c>
      <c r="M8" s="5">
        <v>2526</v>
      </c>
      <c r="N8" s="5">
        <v>28882</v>
      </c>
      <c r="O8" s="5">
        <v>7873</v>
      </c>
      <c r="P8" s="5">
        <v>36909.134130000006</v>
      </c>
      <c r="Q8" s="5">
        <v>10209.234090000002</v>
      </c>
      <c r="R8" s="5">
        <v>61365</v>
      </c>
      <c r="S8" s="5">
        <v>6694</v>
      </c>
      <c r="T8" s="5">
        <v>80376.430317156861</v>
      </c>
      <c r="U8" s="5">
        <v>8067.9087310139421</v>
      </c>
      <c r="V8" s="5">
        <v>60606.273917479826</v>
      </c>
      <c r="W8" s="5">
        <v>6476.6646247390436</v>
      </c>
      <c r="X8" s="5">
        <v>92985.126657357119</v>
      </c>
      <c r="Y8" s="5">
        <v>7627.9980013517443</v>
      </c>
      <c r="Z8" s="5">
        <v>102711.2424521989</v>
      </c>
      <c r="AA8" s="5">
        <v>7158.6070052210889</v>
      </c>
      <c r="AB8" s="5">
        <v>108096</v>
      </c>
      <c r="AC8" s="5">
        <v>8411</v>
      </c>
      <c r="AD8" s="5">
        <v>112721</v>
      </c>
      <c r="AE8" s="5">
        <v>11263</v>
      </c>
      <c r="AF8" s="5">
        <v>120550</v>
      </c>
      <c r="AG8" s="5">
        <v>14157</v>
      </c>
      <c r="AH8" s="5">
        <v>91954</v>
      </c>
      <c r="AI8" s="5">
        <v>15036</v>
      </c>
      <c r="AJ8" s="5">
        <v>90725</v>
      </c>
      <c r="AK8" s="5">
        <v>16586</v>
      </c>
      <c r="AL8" s="5">
        <v>112703</v>
      </c>
      <c r="AM8" s="5">
        <v>16873</v>
      </c>
      <c r="AN8" s="5">
        <v>132484</v>
      </c>
      <c r="AO8" s="5">
        <v>21015</v>
      </c>
      <c r="AP8" s="5">
        <v>138383.5190000002</v>
      </c>
      <c r="AQ8" s="5">
        <v>18534.290000000019</v>
      </c>
      <c r="AR8" s="5">
        <v>125865.39999999995</v>
      </c>
      <c r="AS8" s="5">
        <v>20409.228999999992</v>
      </c>
      <c r="AT8" s="5">
        <v>188171.12800000011</v>
      </c>
      <c r="AU8" s="5">
        <v>24881.22</v>
      </c>
      <c r="AV8" s="5">
        <v>193065.2778798069</v>
      </c>
      <c r="AW8" s="5">
        <v>23983.799020654005</v>
      </c>
      <c r="AX8" s="5">
        <v>440412.1232458399</v>
      </c>
      <c r="AY8" s="5">
        <v>30721.45656862</v>
      </c>
      <c r="AZ8" s="15">
        <v>291863.2286970659</v>
      </c>
      <c r="BA8" s="16">
        <v>32082.992793972004</v>
      </c>
      <c r="BB8" s="20">
        <v>320600.34653109696</v>
      </c>
      <c r="BC8" s="16">
        <v>36741.006997859993</v>
      </c>
    </row>
    <row r="9" spans="1:60" ht="13" customHeight="1" x14ac:dyDescent="0.3">
      <c r="A9" s="3" t="s">
        <v>5</v>
      </c>
      <c r="B9" s="5">
        <v>0</v>
      </c>
      <c r="C9" s="5">
        <v>0</v>
      </c>
      <c r="D9" s="5">
        <v>5855.7190000000001</v>
      </c>
      <c r="E9" s="5">
        <v>953.45600000000002</v>
      </c>
      <c r="F9" s="5">
        <v>5800.9359999999997</v>
      </c>
      <c r="G9" s="5">
        <v>994.85500000000002</v>
      </c>
      <c r="H9" s="5">
        <v>6220.3810000000003</v>
      </c>
      <c r="I9" s="5">
        <v>1211.614</v>
      </c>
      <c r="J9" s="5">
        <v>15699.915000000001</v>
      </c>
      <c r="K9" s="5">
        <v>2501.9279999999999</v>
      </c>
      <c r="L9" s="5">
        <v>18207</v>
      </c>
      <c r="M9" s="5">
        <v>2422</v>
      </c>
      <c r="N9" s="5">
        <v>25080</v>
      </c>
      <c r="O9" s="5">
        <v>4639</v>
      </c>
      <c r="P9" s="5">
        <v>36759.117619999997</v>
      </c>
      <c r="Q9" s="5">
        <v>9567.1725200000001</v>
      </c>
      <c r="R9" s="5">
        <v>55172</v>
      </c>
      <c r="S9" s="5">
        <v>5673</v>
      </c>
      <c r="T9" s="5">
        <v>83539.8810374202</v>
      </c>
      <c r="U9" s="5">
        <v>7566.3001159917703</v>
      </c>
      <c r="V9" s="5">
        <v>60652.558770885022</v>
      </c>
      <c r="W9" s="5">
        <v>5841.2692222212063</v>
      </c>
      <c r="X9" s="5">
        <v>84503.458311778362</v>
      </c>
      <c r="Y9" s="5">
        <v>6953.1730700308863</v>
      </c>
      <c r="Z9" s="5">
        <v>105848.66613222395</v>
      </c>
      <c r="AA9" s="5">
        <v>7222.2984302458035</v>
      </c>
      <c r="AB9" s="5">
        <v>112086</v>
      </c>
      <c r="AC9" s="5">
        <v>7808</v>
      </c>
      <c r="AD9" s="5">
        <v>122356</v>
      </c>
      <c r="AE9" s="5">
        <v>13724</v>
      </c>
      <c r="AF9" s="5">
        <v>120452</v>
      </c>
      <c r="AG9" s="5">
        <v>13420</v>
      </c>
      <c r="AH9" s="5">
        <v>91090</v>
      </c>
      <c r="AI9" s="5">
        <v>14519</v>
      </c>
      <c r="AJ9" s="5">
        <v>94774</v>
      </c>
      <c r="AK9" s="5">
        <v>16327</v>
      </c>
      <c r="AL9" s="5">
        <v>106333</v>
      </c>
      <c r="AM9" s="5">
        <v>15558</v>
      </c>
      <c r="AN9" s="5">
        <v>124566</v>
      </c>
      <c r="AO9" s="5">
        <v>18538</v>
      </c>
      <c r="AP9" s="5">
        <v>137117.981</v>
      </c>
      <c r="AQ9" s="5">
        <v>19131.29</v>
      </c>
      <c r="AR9" s="5">
        <v>79078.491999999998</v>
      </c>
      <c r="AS9" s="5">
        <v>9999.8160000000007</v>
      </c>
      <c r="AT9" s="5">
        <v>194056.80200000017</v>
      </c>
      <c r="AU9" s="5">
        <v>25762.080000000009</v>
      </c>
      <c r="AV9" s="5">
        <v>308140.07513974316</v>
      </c>
      <c r="AW9" s="5">
        <v>25384.298011247014</v>
      </c>
      <c r="AX9" s="5">
        <v>372253.67872862896</v>
      </c>
      <c r="AY9" s="5">
        <v>28695.678895261986</v>
      </c>
      <c r="AZ9" s="15">
        <v>295541.20791240502</v>
      </c>
      <c r="BA9" s="16">
        <v>31932.549193310984</v>
      </c>
      <c r="BB9" s="20">
        <v>318056.30399942776</v>
      </c>
      <c r="BC9" s="16">
        <v>35200.041544896994</v>
      </c>
    </row>
    <row r="10" spans="1:60" ht="13" customHeight="1" x14ac:dyDescent="0.3">
      <c r="A10" s="3" t="s">
        <v>6</v>
      </c>
      <c r="B10" s="5">
        <v>0</v>
      </c>
      <c r="C10" s="5">
        <v>0</v>
      </c>
      <c r="D10" s="5">
        <v>4326.42</v>
      </c>
      <c r="E10" s="5">
        <v>649.68799999999999</v>
      </c>
      <c r="F10" s="5">
        <v>5582.5320000000002</v>
      </c>
      <c r="G10" s="5">
        <v>954.18700000000001</v>
      </c>
      <c r="H10" s="5">
        <v>3413</v>
      </c>
      <c r="I10" s="5">
        <v>534</v>
      </c>
      <c r="J10" s="5">
        <v>19570.822</v>
      </c>
      <c r="K10" s="5">
        <v>3311.1239999999998</v>
      </c>
      <c r="L10" s="5">
        <v>20366</v>
      </c>
      <c r="M10" s="5">
        <v>2241</v>
      </c>
      <c r="N10" s="5">
        <v>25033</v>
      </c>
      <c r="O10" s="5">
        <v>3532</v>
      </c>
      <c r="P10" s="5">
        <v>36360.260228999992</v>
      </c>
      <c r="Q10" s="5">
        <v>15564.30740347826</v>
      </c>
      <c r="R10" s="5">
        <v>70271</v>
      </c>
      <c r="S10" s="5">
        <v>10249</v>
      </c>
      <c r="T10" s="5">
        <v>80587.977665865328</v>
      </c>
      <c r="U10" s="5">
        <v>7903.6423920829384</v>
      </c>
      <c r="V10" s="5">
        <v>61697.284735069778</v>
      </c>
      <c r="W10" s="5">
        <v>5913.5943448816315</v>
      </c>
      <c r="X10" s="5">
        <v>83103.497531035944</v>
      </c>
      <c r="Y10" s="5">
        <v>6460.2268951244487</v>
      </c>
      <c r="Z10" s="5">
        <v>109543.31553201463</v>
      </c>
      <c r="AA10" s="5">
        <v>7617.4301346843322</v>
      </c>
      <c r="AB10" s="5">
        <v>116679</v>
      </c>
      <c r="AC10" s="5">
        <v>9004</v>
      </c>
      <c r="AD10" s="5">
        <v>114743</v>
      </c>
      <c r="AE10" s="5">
        <v>12175</v>
      </c>
      <c r="AF10" s="5">
        <v>126438</v>
      </c>
      <c r="AG10" s="5">
        <v>14454</v>
      </c>
      <c r="AH10" s="5">
        <v>97710</v>
      </c>
      <c r="AI10" s="5">
        <v>13285</v>
      </c>
      <c r="AJ10" s="5">
        <v>92895</v>
      </c>
      <c r="AK10" s="5">
        <v>15787</v>
      </c>
      <c r="AL10" s="5">
        <v>115912</v>
      </c>
      <c r="AM10" s="5">
        <v>18206</v>
      </c>
      <c r="AN10" s="5">
        <v>130416</v>
      </c>
      <c r="AO10" s="5">
        <v>19681</v>
      </c>
      <c r="AP10" s="5">
        <v>145783.46399999989</v>
      </c>
      <c r="AQ10" s="5">
        <v>20453.016999999978</v>
      </c>
      <c r="AR10" s="5">
        <v>131845.50599999999</v>
      </c>
      <c r="AS10" s="5">
        <v>13567.898999999999</v>
      </c>
      <c r="AT10" s="5">
        <v>187714.36799999993</v>
      </c>
      <c r="AU10" s="5">
        <v>22857.045000000002</v>
      </c>
      <c r="AV10" s="5">
        <v>505708.05840500694</v>
      </c>
      <c r="AW10" s="5">
        <v>28663.938673998007</v>
      </c>
      <c r="AX10" s="5">
        <v>390240.93070583814</v>
      </c>
      <c r="AY10" s="5">
        <v>31246.289019736978</v>
      </c>
      <c r="AZ10" s="15">
        <v>317420.56452076905</v>
      </c>
      <c r="BA10" s="16">
        <v>35205.758586031006</v>
      </c>
      <c r="BB10" s="20">
        <v>339851.3660299161</v>
      </c>
      <c r="BC10" s="16">
        <v>36991.625486369026</v>
      </c>
    </row>
    <row r="11" spans="1:60" ht="13" customHeight="1" x14ac:dyDescent="0.3">
      <c r="A11" s="3" t="s">
        <v>7</v>
      </c>
      <c r="B11" s="5">
        <v>0</v>
      </c>
      <c r="C11" s="5">
        <v>0</v>
      </c>
      <c r="D11" s="5">
        <v>4962.567</v>
      </c>
      <c r="E11" s="5">
        <v>1090.0239999999999</v>
      </c>
      <c r="F11" s="5">
        <v>5828.13</v>
      </c>
      <c r="G11" s="5">
        <v>820.26599999999996</v>
      </c>
      <c r="H11" s="5">
        <v>7065</v>
      </c>
      <c r="I11" s="5">
        <v>1015</v>
      </c>
      <c r="J11" s="5">
        <v>19968</v>
      </c>
      <c r="K11" s="5">
        <v>2587</v>
      </c>
      <c r="L11" s="5">
        <v>23179</v>
      </c>
      <c r="M11" s="5">
        <v>3050</v>
      </c>
      <c r="N11" s="5">
        <v>25869</v>
      </c>
      <c r="O11" s="5">
        <v>8792</v>
      </c>
      <c r="P11" s="5">
        <v>43861.688119500002</v>
      </c>
      <c r="Q11" s="5">
        <v>11606.48461</v>
      </c>
      <c r="R11" s="5">
        <v>63553</v>
      </c>
      <c r="S11" s="5">
        <v>9806</v>
      </c>
      <c r="T11" s="5">
        <v>84369.502222788724</v>
      </c>
      <c r="U11" s="5">
        <v>7534.1924549729329</v>
      </c>
      <c r="V11" s="5">
        <v>71928.799272272503</v>
      </c>
      <c r="W11" s="5">
        <v>6095.4481078272811</v>
      </c>
      <c r="X11" s="5">
        <v>87296.221862419916</v>
      </c>
      <c r="Y11" s="5">
        <v>8273.8287755277834</v>
      </c>
      <c r="Z11" s="5">
        <v>113895.1538555786</v>
      </c>
      <c r="AA11" s="5">
        <v>8028.064063387289</v>
      </c>
      <c r="AB11" s="5">
        <v>107697</v>
      </c>
      <c r="AC11" s="5">
        <v>8664</v>
      </c>
      <c r="AD11" s="5">
        <v>121424</v>
      </c>
      <c r="AE11" s="5">
        <v>11988</v>
      </c>
      <c r="AF11" s="5">
        <v>126779</v>
      </c>
      <c r="AG11" s="5">
        <v>14107</v>
      </c>
      <c r="AH11" s="5">
        <v>100448</v>
      </c>
      <c r="AI11" s="5">
        <v>14349</v>
      </c>
      <c r="AJ11" s="5">
        <v>100508</v>
      </c>
      <c r="AK11" s="5">
        <v>16244</v>
      </c>
      <c r="AL11" s="5">
        <v>118060</v>
      </c>
      <c r="AM11" s="5">
        <v>17841</v>
      </c>
      <c r="AN11" s="5">
        <v>135107</v>
      </c>
      <c r="AO11" s="5">
        <v>17853</v>
      </c>
      <c r="AP11" s="5">
        <v>143634.52000000008</v>
      </c>
      <c r="AQ11" s="5">
        <v>17467.848000000024</v>
      </c>
      <c r="AR11" s="5">
        <v>169234.96</v>
      </c>
      <c r="AS11" s="5">
        <v>21900.676999999989</v>
      </c>
      <c r="AT11" s="5">
        <v>201898.4329999999</v>
      </c>
      <c r="AU11" s="5">
        <v>26464.652999999988</v>
      </c>
      <c r="AV11" s="5">
        <v>427354.60659683438</v>
      </c>
      <c r="AW11" s="5">
        <v>29574.027603407998</v>
      </c>
      <c r="AX11" s="5">
        <v>355366.32239410258</v>
      </c>
      <c r="AY11" s="5">
        <v>29048.386382988996</v>
      </c>
      <c r="AZ11" s="15">
        <v>315507.41813603882</v>
      </c>
      <c r="BA11" s="16">
        <v>34320.461307015015</v>
      </c>
      <c r="BB11" s="20">
        <v>348258.36485734966</v>
      </c>
      <c r="BC11" s="16">
        <v>39808.723176149033</v>
      </c>
      <c r="BD11" s="11"/>
      <c r="BE11" s="11"/>
      <c r="BF11" s="29"/>
      <c r="BG11" s="29"/>
      <c r="BH11" s="30"/>
    </row>
    <row r="12" spans="1:60" ht="13" customHeight="1" x14ac:dyDescent="0.3">
      <c r="A12" s="3" t="s">
        <v>8</v>
      </c>
      <c r="B12" s="5">
        <v>4334.92</v>
      </c>
      <c r="C12" s="5">
        <v>939.62599999999998</v>
      </c>
      <c r="D12" s="5">
        <v>5150.3819999999996</v>
      </c>
      <c r="E12" s="5">
        <v>872.13900000000001</v>
      </c>
      <c r="F12" s="5">
        <v>6278.7629999999999</v>
      </c>
      <c r="G12" s="5">
        <v>895.31299999999999</v>
      </c>
      <c r="H12" s="5">
        <v>8866</v>
      </c>
      <c r="I12" s="5">
        <v>1806</v>
      </c>
      <c r="J12" s="5">
        <v>19854.514999999999</v>
      </c>
      <c r="K12" s="5">
        <v>3229.7310000000002</v>
      </c>
      <c r="L12" s="5">
        <v>21138</v>
      </c>
      <c r="M12" s="5">
        <v>2882</v>
      </c>
      <c r="N12" s="5">
        <v>32941</v>
      </c>
      <c r="O12" s="5">
        <v>3909</v>
      </c>
      <c r="P12" s="5">
        <v>50493.158050000005</v>
      </c>
      <c r="Q12" s="5">
        <v>14746.65482</v>
      </c>
      <c r="R12" s="5">
        <v>78217</v>
      </c>
      <c r="S12" s="5">
        <v>10245</v>
      </c>
      <c r="T12" s="5">
        <v>97427.259463632072</v>
      </c>
      <c r="U12" s="5">
        <v>9157.8829600000026</v>
      </c>
      <c r="V12" s="5">
        <v>79388.656086728384</v>
      </c>
      <c r="W12" s="5">
        <v>7086.1700445633096</v>
      </c>
      <c r="X12" s="5">
        <v>89189.202995537402</v>
      </c>
      <c r="Y12" s="5">
        <v>9072.223450261592</v>
      </c>
      <c r="Z12" s="5">
        <v>112615.43378834001</v>
      </c>
      <c r="AA12" s="5">
        <v>7770.6477640205203</v>
      </c>
      <c r="AB12" s="5">
        <v>118085</v>
      </c>
      <c r="AC12" s="5">
        <v>9011</v>
      </c>
      <c r="AD12" s="5">
        <v>136412</v>
      </c>
      <c r="AE12" s="5">
        <v>13740</v>
      </c>
      <c r="AF12" s="5">
        <v>136933</v>
      </c>
      <c r="AG12" s="5">
        <v>15177</v>
      </c>
      <c r="AH12" s="5">
        <v>91256</v>
      </c>
      <c r="AI12" s="5">
        <v>12615</v>
      </c>
      <c r="AJ12" s="5">
        <v>100735</v>
      </c>
      <c r="AK12" s="5">
        <v>15758</v>
      </c>
      <c r="AL12" s="5">
        <v>121351</v>
      </c>
      <c r="AM12" s="5">
        <v>15920</v>
      </c>
      <c r="AN12" s="5">
        <v>144392</v>
      </c>
      <c r="AO12" s="5">
        <v>18938</v>
      </c>
      <c r="AP12" s="5">
        <v>154526.20000000001</v>
      </c>
      <c r="AQ12" s="5">
        <v>19238.2</v>
      </c>
      <c r="AR12" s="5">
        <v>188722.96499999985</v>
      </c>
      <c r="AS12" s="5">
        <v>22234.799999999999</v>
      </c>
      <c r="AT12" s="5">
        <v>208428.2319999999</v>
      </c>
      <c r="AU12" s="5">
        <v>26666.377999999997</v>
      </c>
      <c r="AV12" s="5">
        <v>306023.35707489488</v>
      </c>
      <c r="AW12" s="5">
        <v>27679.842238622998</v>
      </c>
      <c r="AX12" s="5">
        <v>303516.08667169174</v>
      </c>
      <c r="AY12" s="5">
        <v>28562.673749843019</v>
      </c>
      <c r="AZ12" s="15">
        <v>336988.197493885</v>
      </c>
      <c r="BA12" s="16">
        <v>37279.727946404048</v>
      </c>
      <c r="BB12" s="20">
        <v>350045.59683463187</v>
      </c>
      <c r="BC12" s="16">
        <v>39026.84714187785</v>
      </c>
      <c r="BF12" s="31"/>
      <c r="BG12" s="32"/>
    </row>
    <row r="13" spans="1:60" ht="13" customHeight="1" x14ac:dyDescent="0.3">
      <c r="A13" s="3" t="s">
        <v>9</v>
      </c>
      <c r="B13" s="5">
        <v>4651.5479999999998</v>
      </c>
      <c r="C13" s="5">
        <v>695.245</v>
      </c>
      <c r="D13" s="5">
        <v>5614.75</v>
      </c>
      <c r="E13" s="5">
        <v>762.29399999999998</v>
      </c>
      <c r="F13" s="5">
        <v>5585.8879999999999</v>
      </c>
      <c r="G13" s="5">
        <v>793.73199999999997</v>
      </c>
      <c r="H13" s="5">
        <v>9707</v>
      </c>
      <c r="I13" s="5">
        <v>2450</v>
      </c>
      <c r="J13" s="5">
        <v>15867.507</v>
      </c>
      <c r="K13" s="5">
        <v>3382.0529999999999</v>
      </c>
      <c r="L13" s="5">
        <v>27061</v>
      </c>
      <c r="M13" s="5">
        <v>2864</v>
      </c>
      <c r="N13" s="5">
        <v>43381</v>
      </c>
      <c r="O13" s="5">
        <v>9943</v>
      </c>
      <c r="P13" s="5">
        <v>55140.114401599996</v>
      </c>
      <c r="Q13" s="5">
        <v>15790.333227099998</v>
      </c>
      <c r="R13" s="5">
        <v>83001</v>
      </c>
      <c r="S13" s="5">
        <v>11431</v>
      </c>
      <c r="T13" s="5">
        <v>73762.926906977242</v>
      </c>
      <c r="U13" s="5">
        <v>5694.2229405545668</v>
      </c>
      <c r="V13" s="5">
        <v>74968.109058973525</v>
      </c>
      <c r="W13" s="5">
        <v>5616.2452959819357</v>
      </c>
      <c r="X13" s="5">
        <v>90103.909383172766</v>
      </c>
      <c r="Y13" s="5">
        <v>9181.7100709904043</v>
      </c>
      <c r="Z13" s="5">
        <v>114486.09401285644</v>
      </c>
      <c r="AA13" s="5">
        <v>8586.1085667714506</v>
      </c>
      <c r="AB13" s="5">
        <v>115965</v>
      </c>
      <c r="AC13" s="5">
        <v>8953</v>
      </c>
      <c r="AD13" s="5">
        <v>128954</v>
      </c>
      <c r="AE13" s="5">
        <v>13459</v>
      </c>
      <c r="AF13" s="5">
        <v>130113</v>
      </c>
      <c r="AG13" s="5">
        <v>14555</v>
      </c>
      <c r="AH13" s="5">
        <v>84439</v>
      </c>
      <c r="AI13" s="5">
        <v>12490</v>
      </c>
      <c r="AJ13" s="5">
        <v>105844</v>
      </c>
      <c r="AK13" s="5">
        <v>17360</v>
      </c>
      <c r="AL13" s="5">
        <v>122012</v>
      </c>
      <c r="AM13" s="5">
        <v>19554</v>
      </c>
      <c r="AN13" s="5">
        <v>135767</v>
      </c>
      <c r="AO13" s="5">
        <v>18940</v>
      </c>
      <c r="AP13" s="5">
        <v>146424.07200000001</v>
      </c>
      <c r="AQ13" s="5">
        <v>19033.472999999994</v>
      </c>
      <c r="AR13" s="5">
        <v>184207.75700000007</v>
      </c>
      <c r="AS13" s="5">
        <v>23117.926000000003</v>
      </c>
      <c r="AT13" s="5">
        <v>204893.03500000012</v>
      </c>
      <c r="AU13" s="5">
        <v>27434.558000000008</v>
      </c>
      <c r="AV13" s="5">
        <v>334266.12962885579</v>
      </c>
      <c r="AW13" s="5">
        <v>29524.113325486993</v>
      </c>
      <c r="AX13" s="5">
        <v>289637.28040293494</v>
      </c>
      <c r="AY13" s="5">
        <v>29527.281475655003</v>
      </c>
      <c r="AZ13" s="15">
        <v>321548.25419068406</v>
      </c>
      <c r="BA13" s="16">
        <v>35684.056693313032</v>
      </c>
      <c r="BB13" s="20">
        <v>295165.15043673402</v>
      </c>
      <c r="BC13" s="16">
        <v>33614.381209813</v>
      </c>
      <c r="BE13" s="33"/>
      <c r="BF13" s="33"/>
    </row>
    <row r="14" spans="1:60" ht="13" customHeight="1" x14ac:dyDescent="0.3">
      <c r="A14" s="3" t="s">
        <v>10</v>
      </c>
      <c r="B14" s="5">
        <v>4140.3630000000003</v>
      </c>
      <c r="C14" s="5">
        <v>740.39</v>
      </c>
      <c r="D14" s="5">
        <v>7347.933</v>
      </c>
      <c r="E14" s="5">
        <v>1138.4770000000001</v>
      </c>
      <c r="F14" s="5">
        <v>6031.8909999999996</v>
      </c>
      <c r="G14" s="5">
        <v>942.45500000000004</v>
      </c>
      <c r="H14" s="5">
        <v>10060</v>
      </c>
      <c r="I14" s="5">
        <v>1424</v>
      </c>
      <c r="J14" s="5">
        <v>15984.289000000001</v>
      </c>
      <c r="K14" s="5">
        <v>2406.0639999999999</v>
      </c>
      <c r="L14" s="5">
        <v>23311</v>
      </c>
      <c r="M14" s="5">
        <v>3269</v>
      </c>
      <c r="N14" s="5">
        <v>44321</v>
      </c>
      <c r="O14" s="5">
        <v>9931</v>
      </c>
      <c r="P14" s="5">
        <v>57077.812983317315</v>
      </c>
      <c r="Q14" s="5">
        <v>14173.086113481211</v>
      </c>
      <c r="R14" s="5">
        <v>85743</v>
      </c>
      <c r="S14" s="5">
        <v>11393</v>
      </c>
      <c r="T14" s="5">
        <v>86054.59698608036</v>
      </c>
      <c r="U14" s="5">
        <v>6792.5321070273358</v>
      </c>
      <c r="V14" s="5">
        <v>80399.092531032147</v>
      </c>
      <c r="W14" s="5">
        <v>6287.0611149300321</v>
      </c>
      <c r="X14" s="5">
        <v>92193.385186468906</v>
      </c>
      <c r="Y14" s="5">
        <v>9769.0995007611727</v>
      </c>
      <c r="Z14" s="5">
        <v>114118.73739424659</v>
      </c>
      <c r="AA14" s="5">
        <v>8286.1211035380675</v>
      </c>
      <c r="AB14" s="5">
        <v>115038</v>
      </c>
      <c r="AC14" s="5">
        <v>8984</v>
      </c>
      <c r="AD14" s="5">
        <v>131110</v>
      </c>
      <c r="AE14" s="5">
        <v>13563</v>
      </c>
      <c r="AF14" s="5">
        <v>132093</v>
      </c>
      <c r="AG14" s="5">
        <v>14862</v>
      </c>
      <c r="AH14" s="5">
        <v>88586</v>
      </c>
      <c r="AI14" s="5">
        <v>13805</v>
      </c>
      <c r="AJ14" s="5">
        <v>100645</v>
      </c>
      <c r="AK14" s="5">
        <v>15336</v>
      </c>
      <c r="AL14" s="5">
        <v>124970</v>
      </c>
      <c r="AM14" s="5">
        <v>19107</v>
      </c>
      <c r="AN14" s="5">
        <v>131455</v>
      </c>
      <c r="AO14" s="5">
        <v>19218</v>
      </c>
      <c r="AP14" s="5">
        <v>149765.68900000019</v>
      </c>
      <c r="AQ14" s="5">
        <v>20465.618999999992</v>
      </c>
      <c r="AR14" s="5">
        <v>192721.02499999999</v>
      </c>
      <c r="AS14" s="5">
        <v>25054.575000000001</v>
      </c>
      <c r="AT14" s="5">
        <v>209749.84700000001</v>
      </c>
      <c r="AU14" s="5">
        <v>29211.425999999999</v>
      </c>
      <c r="AV14" s="5">
        <v>387177.68833978078</v>
      </c>
      <c r="AW14" s="5">
        <v>31950.312121155999</v>
      </c>
      <c r="AX14" s="5">
        <v>286414.21703472716</v>
      </c>
      <c r="AY14" s="5">
        <v>29158.912074190994</v>
      </c>
      <c r="AZ14" s="15">
        <v>317792.1718001581</v>
      </c>
      <c r="BA14" s="16">
        <v>38231.140137005001</v>
      </c>
      <c r="BB14" s="20"/>
      <c r="BC14" s="16"/>
      <c r="BD14" s="33"/>
      <c r="BE14" s="33"/>
    </row>
    <row r="15" spans="1:60" ht="13" customHeight="1" x14ac:dyDescent="0.3">
      <c r="A15" s="3" t="s">
        <v>11</v>
      </c>
      <c r="B15" s="5">
        <v>5339.61</v>
      </c>
      <c r="C15" s="5">
        <v>877.66200000000003</v>
      </c>
      <c r="D15" s="5">
        <v>5128.9210000000003</v>
      </c>
      <c r="E15" s="5">
        <v>898.51</v>
      </c>
      <c r="F15" s="5">
        <v>6846.7579999999998</v>
      </c>
      <c r="G15" s="5">
        <v>1088.3150000000001</v>
      </c>
      <c r="H15" s="5">
        <v>10932</v>
      </c>
      <c r="I15" s="5">
        <v>1750</v>
      </c>
      <c r="J15" s="5">
        <v>17719.744999999999</v>
      </c>
      <c r="K15" s="5">
        <v>2971.7310000000002</v>
      </c>
      <c r="L15" s="5">
        <v>20594</v>
      </c>
      <c r="M15" s="5">
        <v>5940</v>
      </c>
      <c r="N15" s="5">
        <v>38306</v>
      </c>
      <c r="O15" s="5">
        <v>10147</v>
      </c>
      <c r="P15" s="5">
        <v>53504.917544119598</v>
      </c>
      <c r="Q15" s="5">
        <v>5491.2422789000002</v>
      </c>
      <c r="R15" s="5">
        <v>82980</v>
      </c>
      <c r="S15" s="5">
        <v>7641</v>
      </c>
      <c r="T15" s="5">
        <v>92007.342874910566</v>
      </c>
      <c r="U15" s="5">
        <v>6576.4807958198489</v>
      </c>
      <c r="V15" s="5">
        <v>80672.161288070027</v>
      </c>
      <c r="W15" s="5">
        <v>6495.0480534321732</v>
      </c>
      <c r="X15" s="5">
        <v>95532.065318867579</v>
      </c>
      <c r="Y15" s="5">
        <v>11102.161906628155</v>
      </c>
      <c r="Z15" s="5">
        <v>108966.47383763027</v>
      </c>
      <c r="AA15" s="5">
        <v>9163.5909884960074</v>
      </c>
      <c r="AB15" s="5">
        <v>115813</v>
      </c>
      <c r="AC15" s="5">
        <v>11241</v>
      </c>
      <c r="AD15" s="5">
        <v>132549</v>
      </c>
      <c r="AE15" s="5">
        <v>14937</v>
      </c>
      <c r="AF15" s="5">
        <v>123908</v>
      </c>
      <c r="AG15" s="5">
        <v>17020</v>
      </c>
      <c r="AH15" s="5">
        <v>89925</v>
      </c>
      <c r="AI15" s="5">
        <v>15100</v>
      </c>
      <c r="AJ15" s="5">
        <v>102922</v>
      </c>
      <c r="AK15" s="5">
        <v>17818</v>
      </c>
      <c r="AL15" s="5">
        <v>123436</v>
      </c>
      <c r="AM15" s="5">
        <v>18680</v>
      </c>
      <c r="AN15" s="5">
        <v>137380</v>
      </c>
      <c r="AO15" s="5">
        <v>21202</v>
      </c>
      <c r="AP15" s="5">
        <v>153208.08999999994</v>
      </c>
      <c r="AQ15" s="5">
        <v>22456.586999999992</v>
      </c>
      <c r="AR15" s="5">
        <v>181729.21599999993</v>
      </c>
      <c r="AS15" s="5">
        <v>23870.16</v>
      </c>
      <c r="AT15" s="5">
        <v>206691.24997412393</v>
      </c>
      <c r="AU15" s="5">
        <v>30299.250808601999</v>
      </c>
      <c r="AV15" s="5">
        <v>501998.84981234814</v>
      </c>
      <c r="AW15" s="5">
        <v>31423.332426590019</v>
      </c>
      <c r="AX15" s="5">
        <v>285439.25301206479</v>
      </c>
      <c r="AY15" s="5">
        <v>31833.759223595011</v>
      </c>
      <c r="AZ15" s="15">
        <v>318709.0164067609</v>
      </c>
      <c r="BA15" s="16">
        <v>40845.465059567992</v>
      </c>
      <c r="BB15" s="20"/>
      <c r="BC15" s="16"/>
    </row>
    <row r="16" spans="1:60" ht="13" customHeight="1" x14ac:dyDescent="0.3">
      <c r="A16" s="3" t="s">
        <v>12</v>
      </c>
      <c r="B16" s="5">
        <v>4589.0780000000004</v>
      </c>
      <c r="C16" s="5">
        <v>834.06799999999998</v>
      </c>
      <c r="D16" s="5">
        <v>5365.2449999999999</v>
      </c>
      <c r="E16" s="5">
        <v>968.34699999999998</v>
      </c>
      <c r="F16" s="5">
        <v>6435.2960000000003</v>
      </c>
      <c r="G16" s="5">
        <v>1663.7370000000001</v>
      </c>
      <c r="H16" s="5">
        <v>11970</v>
      </c>
      <c r="I16" s="5">
        <v>1716</v>
      </c>
      <c r="J16" s="5">
        <v>15395.964</v>
      </c>
      <c r="K16" s="5">
        <v>2149.3200000000002</v>
      </c>
      <c r="L16" s="5">
        <v>23157</v>
      </c>
      <c r="M16" s="5">
        <v>12995</v>
      </c>
      <c r="N16" s="5">
        <v>40998</v>
      </c>
      <c r="O16" s="5">
        <v>9868</v>
      </c>
      <c r="P16" s="5">
        <v>55968</v>
      </c>
      <c r="Q16" s="5">
        <v>10465</v>
      </c>
      <c r="R16" s="5">
        <v>85670.66349559011</v>
      </c>
      <c r="S16" s="5">
        <v>12504.916206133701</v>
      </c>
      <c r="T16" s="5">
        <v>91323.70206322486</v>
      </c>
      <c r="U16" s="5">
        <v>6120.5628530481181</v>
      </c>
      <c r="V16" s="5">
        <v>72372.916006583895</v>
      </c>
      <c r="W16" s="5">
        <v>6094.9259826050247</v>
      </c>
      <c r="X16" s="5">
        <v>92353.610056797857</v>
      </c>
      <c r="Y16" s="5">
        <v>11166.8499479781</v>
      </c>
      <c r="Z16" s="5">
        <v>104160.86342469399</v>
      </c>
      <c r="AA16" s="5">
        <v>8378.4290957931935</v>
      </c>
      <c r="AB16" s="5">
        <v>110469</v>
      </c>
      <c r="AC16" s="5">
        <v>9988</v>
      </c>
      <c r="AD16" s="5">
        <v>124411</v>
      </c>
      <c r="AE16" s="5">
        <v>14700</v>
      </c>
      <c r="AF16" s="5">
        <v>104288</v>
      </c>
      <c r="AG16" s="5">
        <v>15741</v>
      </c>
      <c r="AH16" s="5">
        <v>85205</v>
      </c>
      <c r="AI16" s="5">
        <v>14742</v>
      </c>
      <c r="AJ16" s="5">
        <v>98327</v>
      </c>
      <c r="AK16" s="5">
        <v>17092</v>
      </c>
      <c r="AL16" s="5">
        <v>122611</v>
      </c>
      <c r="AM16" s="5">
        <v>19897</v>
      </c>
      <c r="AN16" s="5">
        <v>133279</v>
      </c>
      <c r="AO16" s="5">
        <v>19687</v>
      </c>
      <c r="AP16" s="5">
        <v>151042.60600000003</v>
      </c>
      <c r="AQ16" s="5">
        <v>21880.112000000012</v>
      </c>
      <c r="AR16" s="5">
        <v>169936.51100000012</v>
      </c>
      <c r="AS16" s="5">
        <v>21869.142999999985</v>
      </c>
      <c r="AT16" s="5">
        <v>207337.549246857</v>
      </c>
      <c r="AU16" s="5">
        <v>31765.767033370001</v>
      </c>
      <c r="AV16" s="5">
        <v>521164.5730299041</v>
      </c>
      <c r="AW16" s="5">
        <v>31417.248245072984</v>
      </c>
      <c r="AX16" s="5">
        <v>295013.16081808234</v>
      </c>
      <c r="AY16" s="5">
        <v>31543.802506595999</v>
      </c>
      <c r="AZ16" s="15">
        <v>298394.74158756691</v>
      </c>
      <c r="BA16" s="16">
        <v>36782.647299306976</v>
      </c>
      <c r="BB16" s="20"/>
      <c r="BC16" s="16"/>
    </row>
    <row r="17" spans="1:55" ht="13" customHeight="1" x14ac:dyDescent="0.3">
      <c r="A17" s="8" t="s">
        <v>13</v>
      </c>
      <c r="B17" s="9">
        <v>6282.06</v>
      </c>
      <c r="C17" s="9">
        <v>823.35400000000004</v>
      </c>
      <c r="D17" s="9">
        <v>6523.7380000000003</v>
      </c>
      <c r="E17" s="9">
        <v>1017.623</v>
      </c>
      <c r="F17" s="9">
        <v>6304.7209999999995</v>
      </c>
      <c r="G17" s="9">
        <v>795.96400000000006</v>
      </c>
      <c r="H17" s="9">
        <v>10017</v>
      </c>
      <c r="I17" s="9">
        <v>1434</v>
      </c>
      <c r="J17" s="9">
        <v>22929.56</v>
      </c>
      <c r="K17" s="9">
        <v>3124.0949999999998</v>
      </c>
      <c r="L17" s="9">
        <v>35034</v>
      </c>
      <c r="M17" s="9">
        <v>4173</v>
      </c>
      <c r="N17" s="9">
        <v>49826</v>
      </c>
      <c r="O17" s="9">
        <v>11500</v>
      </c>
      <c r="P17" s="9">
        <v>62611</v>
      </c>
      <c r="Q17" s="9">
        <v>6290</v>
      </c>
      <c r="R17" s="9">
        <v>97742</v>
      </c>
      <c r="S17" s="9">
        <v>13961</v>
      </c>
      <c r="T17" s="9">
        <v>108846.49494733932</v>
      </c>
      <c r="U17" s="9">
        <v>6974.1126445247055</v>
      </c>
      <c r="V17" s="9">
        <v>96005.794338780091</v>
      </c>
      <c r="W17" s="9">
        <v>8036.0517547188265</v>
      </c>
      <c r="X17" s="9">
        <v>108558.38897224689</v>
      </c>
      <c r="Y17" s="9">
        <v>12013.565857320102</v>
      </c>
      <c r="Z17" s="9">
        <v>124901.50108585546</v>
      </c>
      <c r="AA17" s="9">
        <v>9208.151121776833</v>
      </c>
      <c r="AB17" s="9">
        <v>134118</v>
      </c>
      <c r="AC17" s="9">
        <v>11812</v>
      </c>
      <c r="AD17" s="9">
        <v>154572</v>
      </c>
      <c r="AE17" s="9">
        <v>15371</v>
      </c>
      <c r="AF17" s="9">
        <v>115761</v>
      </c>
      <c r="AG17" s="9">
        <v>20189</v>
      </c>
      <c r="AH17" s="9">
        <v>101915</v>
      </c>
      <c r="AI17" s="9">
        <v>17755</v>
      </c>
      <c r="AJ17" s="9">
        <v>119585</v>
      </c>
      <c r="AK17" s="9">
        <v>18255</v>
      </c>
      <c r="AL17" s="9">
        <v>139500</v>
      </c>
      <c r="AM17" s="9">
        <v>20177</v>
      </c>
      <c r="AN17" s="9">
        <v>150887</v>
      </c>
      <c r="AO17" s="9">
        <v>21674</v>
      </c>
      <c r="AP17" s="9">
        <v>172270.35699999999</v>
      </c>
      <c r="AQ17" s="9">
        <v>25520.147000000015</v>
      </c>
      <c r="AR17" s="9">
        <v>199678.93100000001</v>
      </c>
      <c r="AS17" s="9">
        <v>24663.183000000001</v>
      </c>
      <c r="AT17" s="9">
        <v>229487.01178125993</v>
      </c>
      <c r="AU17" s="9">
        <v>33323.421849030034</v>
      </c>
      <c r="AV17" s="9">
        <v>535251.0711291238</v>
      </c>
      <c r="AW17" s="9">
        <v>33816.150236561996</v>
      </c>
      <c r="AX17" s="9">
        <v>311008.24882039416</v>
      </c>
      <c r="AY17" s="9">
        <v>32301.527054203016</v>
      </c>
      <c r="AZ17" s="17">
        <v>340483.67425683013</v>
      </c>
      <c r="BA17" s="18">
        <v>41092.524379186005</v>
      </c>
      <c r="BB17" s="21"/>
      <c r="BC17" s="18"/>
    </row>
    <row r="20" spans="1:55" x14ac:dyDescent="0.3">
      <c r="A20" s="3" t="s">
        <v>17</v>
      </c>
    </row>
    <row r="21" spans="1:55" ht="52.5" customHeight="1" x14ac:dyDescent="0.3">
      <c r="A21" s="10" t="s">
        <v>19</v>
      </c>
    </row>
  </sheetData>
  <mergeCells count="28">
    <mergeCell ref="BB3:BC3"/>
    <mergeCell ref="AZ3:BA3"/>
    <mergeCell ref="AX3:AY3"/>
    <mergeCell ref="AV3:AW3"/>
    <mergeCell ref="AL3:AM3"/>
    <mergeCell ref="AH3:AI3"/>
    <mergeCell ref="AF3:AG3"/>
    <mergeCell ref="AJ3:AK3"/>
    <mergeCell ref="AT3:AU3"/>
    <mergeCell ref="AR3:AS3"/>
    <mergeCell ref="AP3:AQ3"/>
    <mergeCell ref="AN3:AO3"/>
    <mergeCell ref="A3:A4"/>
    <mergeCell ref="B3:C3"/>
    <mergeCell ref="D3:E3"/>
    <mergeCell ref="F3:G3"/>
    <mergeCell ref="H3:I3"/>
    <mergeCell ref="J3:K3"/>
    <mergeCell ref="N3:O3"/>
    <mergeCell ref="P3:Q3"/>
    <mergeCell ref="R3:S3"/>
    <mergeCell ref="L3:M3"/>
    <mergeCell ref="X3:Y3"/>
    <mergeCell ref="Z3:AA3"/>
    <mergeCell ref="AB3:AC3"/>
    <mergeCell ref="AD3:AE3"/>
    <mergeCell ref="T3:U3"/>
    <mergeCell ref="V3:W3"/>
  </mergeCells>
  <pageMargins left="0.22" right="0.23" top="1" bottom="1" header="0.5" footer="0.5"/>
  <pageSetup paperSize="9" orientation="landscape" r:id="rId1"/>
  <headerFooter alignWithMargins="0">
    <oddHeader xml:space="preserve">&amp;R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aWJhcmJha2FkemU8L1VzZXJOYW1lPjxEYXRlVGltZT4xNS4xMC4yMDIxIDA3OjMzOjAxPC9EYXRlVGltZT48TGFiZWxTdHJpbmc+VGhpcyBpdGVtIGhhcyBubyBjbGFzc2lmaWNhdGlvbjwvTGFiZWxTdHJpbmc+PC9pdGVtPjwvbGFiZWxIaXN0b3J5Pg==</Value>
</WrappedLabelHistory>
</file>

<file path=customXml/item2.xml><?xml version="1.0" encoding="utf-8"?>
<sisl xmlns:xsd="http://www.w3.org/2001/XMLSchema" xmlns:xsi="http://www.w3.org/2001/XMLSchema-instance" xmlns="http://www.boldonjames.com/2008/01/sie/internal/label" sislVersion="0" policy="5ab027e3-97f5-4f2b-b242-189f84f1bffe" origin="userSelected"/>
</file>

<file path=customXml/itemProps1.xml><?xml version="1.0" encoding="utf-8"?>
<ds:datastoreItem xmlns:ds="http://schemas.openxmlformats.org/officeDocument/2006/customXml" ds:itemID="{766D1FDA-B3A9-4629-BCB5-0EA2E988FCA2}">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A266ED50-8A72-4ADE-804A-EDC7178FC0F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MTR Note</vt:lpstr>
      <vt:lpstr>1999-2026 E</vt:lpstr>
    </vt:vector>
  </TitlesOfParts>
  <Company>NBG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Aslamazishvili</dc:creator>
  <cp:lastModifiedBy>Irma Barbakadze</cp:lastModifiedBy>
  <cp:lastPrinted>2009-01-16T11:30:13Z</cp:lastPrinted>
  <dcterms:created xsi:type="dcterms:W3CDTF">2003-02-24T12:19:30Z</dcterms:created>
  <dcterms:modified xsi:type="dcterms:W3CDTF">2026-09-14T17:53:23Z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ee499f6a-908b-4cac-923f-ee18f38f2a7d</vt:lpwstr>
  </property>
  <property fmtid="{D5CDD505-2E9C-101B-9397-08002B2CF9AE}" pid="3" name="bjDocumentSecurityLabel">
    <vt:lpwstr>This item has no classification</vt:lpwstr>
  </property>
  <property fmtid="{D5CDD505-2E9C-101B-9397-08002B2CF9AE}" pid="4" name="bjSaver">
    <vt:lpwstr>PjzdfQasG8p5Jd9x3+EASdqQOvIJgDp3</vt:lpwstr>
  </property>
  <property fmtid="{D5CDD505-2E9C-101B-9397-08002B2CF9AE}" pid="5" name="bjClsUserRVM">
    <vt:lpwstr>[]</vt:lpwstr>
  </property>
  <property fmtid="{D5CDD505-2E9C-101B-9397-08002B2CF9AE}" pid="6" name="bjLabelHistoryID">
    <vt:lpwstr>{766D1FDA-B3A9-4629-BCB5-0EA2E988FCA2}</vt:lpwstr>
  </property>
</Properties>
</file>