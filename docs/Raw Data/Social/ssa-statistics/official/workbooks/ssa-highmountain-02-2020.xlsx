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demografia magalmtiani\"/>
    </mc:Choice>
  </mc:AlternateContent>
  <bookViews>
    <workbookView xWindow="0" yWindow="0" windowWidth="24000" windowHeight="9345" tabRatio="822" activeTab="11"/>
  </bookViews>
  <sheets>
    <sheet name="January" sheetId="111" r:id="rId1"/>
    <sheet name="February" sheetId="112" r:id="rId2"/>
    <sheet name="March" sheetId="113" r:id="rId3"/>
    <sheet name="April" sheetId="114" r:id="rId4"/>
    <sheet name="May" sheetId="115" r:id="rId5"/>
    <sheet name="June" sheetId="116" r:id="rId6"/>
    <sheet name="July" sheetId="117" r:id="rId7"/>
    <sheet name="August" sheetId="118" r:id="rId8"/>
    <sheet name="September" sheetId="119" r:id="rId9"/>
    <sheet name="October" sheetId="120" r:id="rId10"/>
    <sheet name="November" sheetId="121" r:id="rId11"/>
    <sheet name="December" sheetId="122" r:id="rId12"/>
  </sheets>
  <definedNames>
    <definedName name="_xlnm.Print_Area" localSheetId="3">April!$A$1:$F$19</definedName>
    <definedName name="_xlnm.Print_Area" localSheetId="7">August!$A$1:$F$19</definedName>
    <definedName name="_xlnm.Print_Area" localSheetId="11">December!$A$1:$F$19</definedName>
    <definedName name="_xlnm.Print_Area" localSheetId="1">February!$A$1:$F$19</definedName>
    <definedName name="_xlnm.Print_Area" localSheetId="0">January!$A$1:$F$18</definedName>
    <definedName name="_xlnm.Print_Area" localSheetId="6">July!$A$1:$F$19</definedName>
    <definedName name="_xlnm.Print_Area" localSheetId="5">June!$A$1:$F$19</definedName>
    <definedName name="_xlnm.Print_Area" localSheetId="2">March!$A$1:$F$19</definedName>
    <definedName name="_xlnm.Print_Area" localSheetId="4">May!$A$1:$F$19</definedName>
    <definedName name="_xlnm.Print_Area" localSheetId="10">November!$A$1:$F$19</definedName>
    <definedName name="_xlnm.Print_Area" localSheetId="9">October!$A$1:$F$19</definedName>
    <definedName name="_xlnm.Print_Area" localSheetId="8">September!$A$1:$F$19</definedName>
  </definedNames>
  <calcPr calcId="152511"/>
</workbook>
</file>

<file path=xl/calcChain.xml><?xml version="1.0" encoding="utf-8"?>
<calcChain xmlns="http://schemas.openxmlformats.org/spreadsheetml/2006/main">
  <c r="F17" i="122" l="1"/>
  <c r="E17" i="122"/>
  <c r="D17" i="122"/>
  <c r="C17" i="122"/>
  <c r="B17" i="122"/>
  <c r="F17" i="121" l="1"/>
  <c r="E17" i="121"/>
  <c r="D17" i="121"/>
  <c r="C17" i="121"/>
  <c r="B17" i="121"/>
  <c r="F17" i="120" l="1"/>
  <c r="E17" i="120"/>
  <c r="D17" i="120"/>
  <c r="C17" i="120"/>
  <c r="B17" i="120"/>
  <c r="F17" i="119" l="1"/>
  <c r="E17" i="119"/>
  <c r="D17" i="119"/>
  <c r="C17" i="119"/>
  <c r="B17" i="119"/>
  <c r="F17" i="118" l="1"/>
  <c r="E17" i="118"/>
  <c r="D17" i="118"/>
  <c r="C17" i="118"/>
  <c r="B17" i="118"/>
  <c r="F17" i="117" l="1"/>
  <c r="E17" i="117"/>
  <c r="D17" i="117"/>
  <c r="C17" i="117"/>
  <c r="B17" i="117"/>
  <c r="C17" i="116" l="1"/>
  <c r="D17" i="116"/>
  <c r="E17" i="116"/>
  <c r="F17" i="116"/>
  <c r="B17" i="116"/>
  <c r="F17" i="115" l="1"/>
  <c r="E17" i="115"/>
  <c r="D17" i="115"/>
  <c r="C17" i="115"/>
  <c r="B17" i="115"/>
  <c r="C17" i="114" l="1"/>
  <c r="D17" i="114"/>
  <c r="E17" i="114"/>
  <c r="F17" i="114"/>
  <c r="B17" i="114"/>
  <c r="F17" i="113" l="1"/>
  <c r="E17" i="113"/>
  <c r="D17" i="113"/>
  <c r="C17" i="113"/>
  <c r="B17" i="113"/>
  <c r="B17" i="112" l="1"/>
  <c r="C17" i="112"/>
  <c r="D17" i="112"/>
  <c r="E17" i="112"/>
  <c r="F17" i="112"/>
  <c r="F16" i="111" l="1"/>
  <c r="E16" i="111"/>
  <c r="D16" i="111"/>
  <c r="C16" i="111"/>
  <c r="B16" i="111"/>
</calcChain>
</file>

<file path=xl/sharedStrings.xml><?xml version="1.0" encoding="utf-8"?>
<sst xmlns="http://schemas.openxmlformats.org/spreadsheetml/2006/main" count="275" uniqueCount="23">
  <si>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</si>
  <si>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</si>
  <si>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</si>
  <si>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</si>
  <si>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</si>
  <si>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</si>
  <si>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</si>
  <si>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შპს შიდა ქართლის პირველადი ჯანდაცვის ცენტრი</t>
  </si>
  <si>
    <t>შპს რეგიონული ჯანდაცვის ცენტრი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</si>
  <si>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</si>
  <si>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</si>
  <si>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</si>
  <si>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</si>
  <si>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</si>
  <si>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</si>
  <si>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შპს ნიქოზის ამბულატორია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</si>
  <si>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</si>
  <si>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- საგანგებო სიტუაციების კოორდინაციისა და გადაუდებელი დახმარების ცენტრი</t>
  </si>
  <si>
    <t>სს საჩხერის რაიონული საავადმყოფო-პოლიკლინიკური გაერთიანება</t>
  </si>
  <si>
    <t>პარამედიკოსი</t>
  </si>
  <si>
    <t>სსიპ - საგანგებო სიტუაციების კოორდინაციისა და გადაუდებელი დახმარების ცენტრი (სოფლის ექიმი/ექთანი)</t>
  </si>
  <si>
    <t>შპს აღმოსავლეთ საქართველოს ფსიქიკური ჯანმრთელობის ცენტრი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</si>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</sst>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3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8" fillId="2" borderId="0" xfId="0" applyNumberFormat="1" applyFont="1" applyFill="1" applyBorder="1" applyAlignment="1">
      <alignment horizontal="centerContinuous" vertical="center" wrapText="1"/>
    </xf>
    <xf numFmtId="41" fontId="8" fillId="2" borderId="1" xfId="0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/>
    <xf numFmtId="41" fontId="7" fillId="3" borderId="0" xfId="0" applyNumberFormat="1" applyFont="1" applyFill="1" applyBorder="1"/>
    <xf numFmtId="41" fontId="0" fillId="3" borderId="0" xfId="0" applyNumberFormat="1" applyFill="1" applyBorder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/>
    <xf numFmtId="41" fontId="5" fillId="3" borderId="3" xfId="4" applyNumberFormat="1" applyFont="1" applyFill="1" applyBorder="1"/>
    <xf numFmtId="41" fontId="5" fillId="3" borderId="3" xfId="4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3876675</xdr:colOff>
      <xdr:row>0</xdr:row>
      <xdr:rowOff>95250</xdr:rowOff>
    </xdr:from>
    <xdr:to>
      <xdr:col>0</xdr:col>
      <xdr:colOff>4400550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8"/>
  <sheetViews>
    <sheetView showGridLines="0" view="pageBreakPreview" zoomScaleSheetLayoutView="100" workbookViewId="0">
      <selection activeCell="A16" sqref="A16:F16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58</v>
      </c>
      <c r="C4" s="6">
        <v>159</v>
      </c>
      <c r="D4" s="6">
        <v>15</v>
      </c>
      <c r="E4" s="6">
        <v>232</v>
      </c>
      <c r="F4" s="6">
        <v>61400</v>
      </c>
    </row>
    <row r="5" spans="1:45" ht="13.5">
      <c r="A5" s="6" t="s">
        <v>20</v>
      </c>
      <c r="B5" s="6">
        <v>373</v>
      </c>
      <c r="C5" s="6">
        <v>540</v>
      </c>
      <c r="D5" s="6">
        <v>0</v>
      </c>
      <c r="E5" s="6">
        <v>913</v>
      </c>
      <c r="F5" s="6">
        <v>257170</v>
      </c>
    </row>
    <row r="6" spans="1:45" ht="13.5">
      <c r="A6" s="6" t="s">
        <v>15</v>
      </c>
      <c r="B6" s="6">
        <v>2</v>
      </c>
      <c r="C6" s="6">
        <v>5</v>
      </c>
      <c r="D6" s="6">
        <v>0</v>
      </c>
      <c r="E6" s="6">
        <v>7</v>
      </c>
      <c r="F6" s="6">
        <v>1800</v>
      </c>
    </row>
    <row r="7" spans="1:45" ht="13.5">
      <c r="A7" s="6" t="s">
        <v>9</v>
      </c>
      <c r="B7" s="6">
        <v>7</v>
      </c>
      <c r="C7" s="6">
        <v>17</v>
      </c>
      <c r="D7" s="6">
        <v>0</v>
      </c>
      <c r="E7" s="6">
        <v>24</v>
      </c>
      <c r="F7" s="6">
        <v>6200</v>
      </c>
    </row>
    <row r="8" spans="1:45" ht="13.5">
      <c r="A8" s="6" t="s">
        <v>7</v>
      </c>
      <c r="B8" s="6">
        <v>16</v>
      </c>
      <c r="C8" s="6">
        <v>20</v>
      </c>
      <c r="D8" s="6">
        <v>0</v>
      </c>
      <c r="E8" s="6">
        <v>36</v>
      </c>
      <c r="F8" s="6">
        <v>10400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600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600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1400</v>
      </c>
    </row>
    <row r="12" spans="1:45" s="3" customFormat="1" ht="13.5">
      <c r="A12" s="6" t="s">
        <v>8</v>
      </c>
      <c r="B12" s="6">
        <v>101</v>
      </c>
      <c r="C12" s="6">
        <v>169</v>
      </c>
      <c r="D12" s="6">
        <v>0</v>
      </c>
      <c r="E12" s="6">
        <v>270</v>
      </c>
      <c r="F12" s="6">
        <v>74350</v>
      </c>
    </row>
    <row r="13" spans="1:45" s="3" customFormat="1" ht="13.5">
      <c r="A13" s="6" t="s">
        <v>18</v>
      </c>
      <c r="B13" s="6">
        <v>11</v>
      </c>
      <c r="C13" s="6">
        <v>11</v>
      </c>
      <c r="D13" s="6">
        <v>0</v>
      </c>
      <c r="E13" s="6">
        <v>22</v>
      </c>
      <c r="F13" s="6">
        <v>6600</v>
      </c>
    </row>
    <row r="14" spans="1:45" s="3" customFormat="1" ht="13.5">
      <c r="A14" s="6" t="s">
        <v>13</v>
      </c>
      <c r="B14" s="6">
        <v>4</v>
      </c>
      <c r="C14" s="6">
        <v>6</v>
      </c>
      <c r="D14" s="6">
        <v>0</v>
      </c>
      <c r="E14" s="6">
        <v>10</v>
      </c>
      <c r="F14" s="6">
        <v>2800</v>
      </c>
    </row>
    <row r="15" spans="1:45" s="3" customFormat="1" ht="13.5">
      <c r="A15" s="6" t="s">
        <v>14</v>
      </c>
      <c r="B15" s="6">
        <v>12</v>
      </c>
      <c r="C15" s="6">
        <v>34</v>
      </c>
      <c r="D15" s="6">
        <v>0</v>
      </c>
      <c r="E15" s="6">
        <v>46</v>
      </c>
      <c r="F15" s="6">
        <v>11600</v>
      </c>
    </row>
    <row r="16" spans="1:45" ht="13.5">
      <c r="A16" s="11" t="s">
        <v>0</v>
      </c>
      <c r="B16" s="11">
        <f>SUM(B4:B15)</f>
        <v>587</v>
      </c>
      <c r="C16" s="11">
        <f>SUM(C4:C15)</f>
        <v>968</v>
      </c>
      <c r="D16" s="11">
        <f>SUM(D4:D15)</f>
        <v>15</v>
      </c>
      <c r="E16" s="11">
        <f>SUM(E4:E15)</f>
        <v>1570</v>
      </c>
      <c r="F16" s="11">
        <f>SUM(F4:F15)</f>
        <v>434920</v>
      </c>
    </row>
    <row r="17" spans="1:6" ht="13.5">
      <c r="A17" s="10"/>
      <c r="B17" s="10"/>
      <c r="C17" s="10"/>
      <c r="D17" s="10"/>
      <c r="E17" s="10"/>
      <c r="F17" s="10"/>
    </row>
    <row r="18" spans="1:6" ht="14.25">
      <c r="A18" s="7" t="s">
        <v>1</v>
      </c>
      <c r="B18" s="8"/>
      <c r="C18" s="8"/>
      <c r="D18" s="8"/>
      <c r="E18" s="8"/>
      <c r="F18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17" sqref="A17:F17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63</v>
      </c>
      <c r="C4" s="6">
        <v>156</v>
      </c>
      <c r="D4" s="6">
        <v>15</v>
      </c>
      <c r="E4" s="6">
        <v>234</v>
      </c>
      <c r="F4" s="6">
        <v>68640</v>
      </c>
    </row>
    <row r="5" spans="1:45" ht="13.5">
      <c r="A5" s="6" t="s">
        <v>20</v>
      </c>
      <c r="B5" s="6">
        <v>374</v>
      </c>
      <c r="C5" s="6">
        <v>539</v>
      </c>
      <c r="D5" s="6">
        <v>0</v>
      </c>
      <c r="E5" s="6">
        <v>913</v>
      </c>
      <c r="F5" s="6">
        <v>283450</v>
      </c>
    </row>
    <row r="6" spans="1:45" ht="13.5">
      <c r="A6" s="6" t="s">
        <v>15</v>
      </c>
      <c r="B6" s="6">
        <v>2</v>
      </c>
      <c r="C6" s="6">
        <v>5</v>
      </c>
      <c r="D6" s="6">
        <v>0</v>
      </c>
      <c r="E6" s="6">
        <v>7</v>
      </c>
      <c r="F6" s="6">
        <v>1980</v>
      </c>
    </row>
    <row r="7" spans="1:45" ht="13.5">
      <c r="A7" s="6" t="s">
        <v>9</v>
      </c>
      <c r="B7" s="6">
        <v>7</v>
      </c>
      <c r="C7" s="6">
        <v>17</v>
      </c>
      <c r="D7" s="6">
        <v>0</v>
      </c>
      <c r="E7" s="6">
        <v>24</v>
      </c>
      <c r="F7" s="6">
        <v>6820</v>
      </c>
    </row>
    <row r="8" spans="1:45" ht="13.5">
      <c r="A8" s="6" t="s">
        <v>7</v>
      </c>
      <c r="B8" s="6">
        <v>16</v>
      </c>
      <c r="C8" s="6">
        <v>20</v>
      </c>
      <c r="D8" s="6">
        <v>0</v>
      </c>
      <c r="E8" s="6">
        <v>36</v>
      </c>
      <c r="F8" s="6">
        <v>11440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660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1540</v>
      </c>
    </row>
    <row r="12" spans="1:45" s="3" customFormat="1" ht="13.5">
      <c r="A12" s="6" t="s">
        <v>8</v>
      </c>
      <c r="B12" s="6">
        <v>91</v>
      </c>
      <c r="C12" s="6">
        <v>147</v>
      </c>
      <c r="D12" s="6">
        <v>0</v>
      </c>
      <c r="E12" s="6">
        <v>238</v>
      </c>
      <c r="F12" s="6">
        <v>71525</v>
      </c>
    </row>
    <row r="13" spans="1:45" s="3" customFormat="1" ht="13.5">
      <c r="A13" s="6" t="s">
        <v>18</v>
      </c>
      <c r="B13" s="6">
        <v>11</v>
      </c>
      <c r="C13" s="6">
        <v>11</v>
      </c>
      <c r="D13" s="6">
        <v>0</v>
      </c>
      <c r="E13" s="6">
        <v>22</v>
      </c>
      <c r="F13" s="6">
        <v>7260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3780</v>
      </c>
    </row>
    <row r="15" spans="1:45" s="3" customFormat="1" ht="13.5">
      <c r="A15" s="6" t="s">
        <v>13</v>
      </c>
      <c r="B15" s="6">
        <v>5</v>
      </c>
      <c r="C15" s="6">
        <v>6</v>
      </c>
      <c r="D15" s="6">
        <v>0</v>
      </c>
      <c r="E15" s="6">
        <v>11</v>
      </c>
      <c r="F15" s="6">
        <v>3520</v>
      </c>
    </row>
    <row r="16" spans="1:45" s="3" customFormat="1" ht="13.5">
      <c r="A16" s="6" t="s">
        <v>14</v>
      </c>
      <c r="B16" s="6">
        <v>11</v>
      </c>
      <c r="C16" s="6">
        <v>33</v>
      </c>
      <c r="D16" s="6">
        <v>0</v>
      </c>
      <c r="E16" s="6">
        <v>44</v>
      </c>
      <c r="F16" s="6">
        <v>12045</v>
      </c>
    </row>
    <row r="17" spans="1:6" ht="13.5">
      <c r="A17" s="11" t="s">
        <v>0</v>
      </c>
      <c r="B17" s="11">
        <f>SUM(B4:B16)</f>
        <v>585</v>
      </c>
      <c r="C17" s="11">
        <f>SUM(C4:C16)</f>
        <v>946</v>
      </c>
      <c r="D17" s="11">
        <f>SUM(D4:D16)</f>
        <v>15</v>
      </c>
      <c r="E17" s="11">
        <f>SUM(E4:E16)</f>
        <v>1546</v>
      </c>
      <c r="F17" s="11">
        <f>SUM(F4:F16)</f>
        <v>473320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17" sqref="A17:F17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52</v>
      </c>
      <c r="C4" s="6">
        <v>151</v>
      </c>
      <c r="D4" s="6">
        <v>15</v>
      </c>
      <c r="E4" s="6">
        <v>218</v>
      </c>
      <c r="F4" s="6">
        <v>66825</v>
      </c>
    </row>
    <row r="5" spans="1:45" ht="13.5">
      <c r="A5" s="6" t="s">
        <v>20</v>
      </c>
      <c r="B5" s="6">
        <v>375</v>
      </c>
      <c r="C5" s="6">
        <v>540</v>
      </c>
      <c r="D5" s="6">
        <v>0</v>
      </c>
      <c r="E5" s="6">
        <v>915</v>
      </c>
      <c r="F5" s="6">
        <v>279785</v>
      </c>
    </row>
    <row r="6" spans="1:45" ht="13.5">
      <c r="A6" s="6" t="s">
        <v>15</v>
      </c>
      <c r="B6" s="6">
        <v>2</v>
      </c>
      <c r="C6" s="6">
        <v>5</v>
      </c>
      <c r="D6" s="6">
        <v>0</v>
      </c>
      <c r="E6" s="6">
        <v>7</v>
      </c>
      <c r="F6" s="6">
        <v>2200</v>
      </c>
    </row>
    <row r="7" spans="1:45" ht="13.5">
      <c r="A7" s="6" t="s">
        <v>9</v>
      </c>
      <c r="B7" s="6">
        <v>7</v>
      </c>
      <c r="C7" s="6">
        <v>17</v>
      </c>
      <c r="D7" s="6">
        <v>0</v>
      </c>
      <c r="E7" s="6">
        <v>24</v>
      </c>
      <c r="F7" s="6">
        <v>7040</v>
      </c>
    </row>
    <row r="8" spans="1:45" ht="13.5">
      <c r="A8" s="6" t="s">
        <v>7</v>
      </c>
      <c r="B8" s="6">
        <v>16</v>
      </c>
      <c r="C8" s="6">
        <v>20</v>
      </c>
      <c r="D8" s="6">
        <v>0</v>
      </c>
      <c r="E8" s="6">
        <v>36</v>
      </c>
      <c r="F8" s="6">
        <v>11220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440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1980</v>
      </c>
    </row>
    <row r="12" spans="1:45" s="3" customFormat="1" ht="13.5">
      <c r="A12" s="6" t="s">
        <v>8</v>
      </c>
      <c r="B12" s="6">
        <v>98</v>
      </c>
      <c r="C12" s="6">
        <v>167</v>
      </c>
      <c r="D12" s="6">
        <v>0</v>
      </c>
      <c r="E12" s="6">
        <v>265</v>
      </c>
      <c r="F12" s="6">
        <v>83270</v>
      </c>
    </row>
    <row r="13" spans="1:45" s="3" customFormat="1" ht="13.5">
      <c r="A13" s="6" t="s">
        <v>18</v>
      </c>
      <c r="B13" s="6">
        <v>11</v>
      </c>
      <c r="C13" s="6">
        <v>11</v>
      </c>
      <c r="D13" s="6">
        <v>0</v>
      </c>
      <c r="E13" s="6">
        <v>22</v>
      </c>
      <c r="F13" s="6">
        <v>8800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1760</v>
      </c>
    </row>
    <row r="15" spans="1:45" s="3" customFormat="1" ht="13.5">
      <c r="A15" s="6" t="s">
        <v>13</v>
      </c>
      <c r="B15" s="6">
        <v>5</v>
      </c>
      <c r="C15" s="6">
        <v>6</v>
      </c>
      <c r="D15" s="6">
        <v>0</v>
      </c>
      <c r="E15" s="6">
        <v>11</v>
      </c>
      <c r="F15" s="6">
        <v>3300</v>
      </c>
    </row>
    <row r="16" spans="1:45" s="3" customFormat="1" ht="13.5">
      <c r="A16" s="6" t="s">
        <v>14</v>
      </c>
      <c r="B16" s="6">
        <v>16</v>
      </c>
      <c r="C16" s="6">
        <v>33</v>
      </c>
      <c r="D16" s="6">
        <v>0</v>
      </c>
      <c r="E16" s="6">
        <v>49</v>
      </c>
      <c r="F16" s="6">
        <v>14960</v>
      </c>
    </row>
    <row r="17" spans="1:6" ht="13.5">
      <c r="A17" s="11" t="s">
        <v>0</v>
      </c>
      <c r="B17" s="11">
        <f>SUM(B4:B16)</f>
        <v>587</v>
      </c>
      <c r="C17" s="11">
        <f>SUM(C4:C16)</f>
        <v>962</v>
      </c>
      <c r="D17" s="11">
        <f>SUM(D4:D16)</f>
        <v>15</v>
      </c>
      <c r="E17" s="11">
        <f>SUM(E4:E16)</f>
        <v>1564</v>
      </c>
      <c r="F17" s="11">
        <f>SUM(F4:F16)</f>
        <v>482240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4" sqref="A4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55</v>
      </c>
      <c r="C4" s="6">
        <v>152</v>
      </c>
      <c r="D4" s="6">
        <v>15</v>
      </c>
      <c r="E4" s="6">
        <v>222</v>
      </c>
      <c r="F4" s="6">
        <v>64680</v>
      </c>
    </row>
    <row r="5" spans="1:45" ht="13.5">
      <c r="A5" s="6" t="s">
        <v>20</v>
      </c>
      <c r="B5" s="6">
        <v>374</v>
      </c>
      <c r="C5" s="6">
        <v>539</v>
      </c>
      <c r="D5" s="6">
        <v>0</v>
      </c>
      <c r="E5" s="6">
        <v>913</v>
      </c>
      <c r="F5" s="6">
        <v>283030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2145</v>
      </c>
    </row>
    <row r="7" spans="1:45" ht="13.5">
      <c r="A7" s="6" t="s">
        <v>9</v>
      </c>
      <c r="B7" s="6">
        <v>8</v>
      </c>
      <c r="C7" s="6">
        <v>17</v>
      </c>
      <c r="D7" s="6">
        <v>0</v>
      </c>
      <c r="E7" s="6">
        <v>25</v>
      </c>
      <c r="F7" s="6">
        <v>7260</v>
      </c>
    </row>
    <row r="8" spans="1:45" ht="13.5">
      <c r="A8" s="6" t="s">
        <v>7</v>
      </c>
      <c r="B8" s="6">
        <v>16</v>
      </c>
      <c r="C8" s="6">
        <v>20</v>
      </c>
      <c r="D8" s="6">
        <v>0</v>
      </c>
      <c r="E8" s="6">
        <v>36</v>
      </c>
      <c r="F8" s="6">
        <v>11440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660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1540</v>
      </c>
    </row>
    <row r="12" spans="1:45" s="3" customFormat="1" ht="13.5">
      <c r="A12" s="6" t="s">
        <v>8</v>
      </c>
      <c r="B12" s="6">
        <v>100</v>
      </c>
      <c r="C12" s="6">
        <v>167</v>
      </c>
      <c r="D12" s="6">
        <v>0</v>
      </c>
      <c r="E12" s="6">
        <v>267</v>
      </c>
      <c r="F12" s="6">
        <v>80685</v>
      </c>
    </row>
    <row r="13" spans="1:45" s="3" customFormat="1" ht="13.5">
      <c r="A13" s="6" t="s">
        <v>18</v>
      </c>
      <c r="B13" s="6">
        <v>11</v>
      </c>
      <c r="C13" s="6">
        <v>11</v>
      </c>
      <c r="D13" s="6">
        <v>0</v>
      </c>
      <c r="E13" s="6">
        <v>22</v>
      </c>
      <c r="F13" s="6">
        <v>7260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1980</v>
      </c>
    </row>
    <row r="15" spans="1:45" s="3" customFormat="1" ht="13.5">
      <c r="A15" s="6" t="s">
        <v>13</v>
      </c>
      <c r="B15" s="6">
        <v>4</v>
      </c>
      <c r="C15" s="6">
        <v>6</v>
      </c>
      <c r="D15" s="6">
        <v>0</v>
      </c>
      <c r="E15" s="6">
        <v>10</v>
      </c>
      <c r="F15" s="6">
        <v>3080</v>
      </c>
    </row>
    <row r="16" spans="1:45" s="3" customFormat="1" ht="13.5">
      <c r="A16" s="6" t="s">
        <v>14</v>
      </c>
      <c r="B16" s="6">
        <v>15</v>
      </c>
      <c r="C16" s="6">
        <v>33</v>
      </c>
      <c r="D16" s="6">
        <v>0</v>
      </c>
      <c r="E16" s="6">
        <v>48</v>
      </c>
      <c r="F16" s="6">
        <v>13860</v>
      </c>
    </row>
    <row r="17" spans="1:6" ht="13.5">
      <c r="A17" s="11" t="s">
        <v>0</v>
      </c>
      <c r="B17" s="11">
        <f>SUM(B4:B16)</f>
        <v>590</v>
      </c>
      <c r="C17" s="11">
        <f t="shared" ref="C17:F17" si="0">SUM(C4:C16)</f>
        <v>963</v>
      </c>
      <c r="D17" s="11">
        <f t="shared" si="0"/>
        <v>15</v>
      </c>
      <c r="E17" s="11">
        <f t="shared" si="0"/>
        <v>1568</v>
      </c>
      <c r="F17" s="11">
        <f t="shared" si="0"/>
        <v>478280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17" sqref="A17:F17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12" t="s">
        <v>2</v>
      </c>
      <c r="B3" s="12" t="s">
        <v>3</v>
      </c>
      <c r="C3" s="12" t="s">
        <v>4</v>
      </c>
      <c r="D3" s="12" t="s">
        <v>19</v>
      </c>
      <c r="E3" s="12" t="s">
        <v>5</v>
      </c>
      <c r="F3" s="12" t="s">
        <v>6</v>
      </c>
    </row>
    <row r="4" spans="1:45" ht="17.25" customHeight="1">
      <c r="A4" s="6" t="s">
        <v>17</v>
      </c>
      <c r="B4" s="6">
        <v>54</v>
      </c>
      <c r="C4" s="6">
        <v>153</v>
      </c>
      <c r="D4" s="6">
        <v>18</v>
      </c>
      <c r="E4" s="6">
        <v>225</v>
      </c>
      <c r="F4" s="6">
        <v>65340</v>
      </c>
    </row>
    <row r="5" spans="1:45" ht="13.5">
      <c r="A5" s="6" t="s">
        <v>20</v>
      </c>
      <c r="B5" s="6">
        <v>375</v>
      </c>
      <c r="C5" s="6">
        <v>540</v>
      </c>
      <c r="D5" s="6">
        <v>0</v>
      </c>
      <c r="E5" s="6">
        <v>915</v>
      </c>
      <c r="F5" s="6">
        <v>284680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2145</v>
      </c>
    </row>
    <row r="7" spans="1:45" ht="13.5">
      <c r="A7" s="6" t="s">
        <v>9</v>
      </c>
      <c r="B7" s="6">
        <v>8</v>
      </c>
      <c r="C7" s="6">
        <v>17</v>
      </c>
      <c r="D7" s="6">
        <v>0</v>
      </c>
      <c r="E7" s="6">
        <v>25</v>
      </c>
      <c r="F7" s="6">
        <v>7260</v>
      </c>
    </row>
    <row r="8" spans="1:45" ht="13.5">
      <c r="A8" s="6" t="s">
        <v>7</v>
      </c>
      <c r="B8" s="6">
        <v>18</v>
      </c>
      <c r="C8" s="6">
        <v>22</v>
      </c>
      <c r="D8" s="6">
        <v>0</v>
      </c>
      <c r="E8" s="6">
        <v>40</v>
      </c>
      <c r="F8" s="6">
        <v>12760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660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1540</v>
      </c>
    </row>
    <row r="12" spans="1:45" s="3" customFormat="1" ht="13.5">
      <c r="A12" s="6" t="s">
        <v>8</v>
      </c>
      <c r="B12" s="6">
        <v>103</v>
      </c>
      <c r="C12" s="6">
        <v>167</v>
      </c>
      <c r="D12" s="6">
        <v>0</v>
      </c>
      <c r="E12" s="6">
        <v>270</v>
      </c>
      <c r="F12" s="6">
        <v>81950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7865</v>
      </c>
    </row>
    <row r="14" spans="1:45" s="3" customFormat="1" ht="13.5">
      <c r="A14" s="6" t="s">
        <v>21</v>
      </c>
      <c r="B14" s="6">
        <v>2</v>
      </c>
      <c r="C14" s="6">
        <v>4</v>
      </c>
      <c r="D14" s="6">
        <v>0</v>
      </c>
      <c r="E14" s="6">
        <v>6</v>
      </c>
      <c r="F14" s="6">
        <v>1760</v>
      </c>
    </row>
    <row r="15" spans="1:45" s="3" customFormat="1" ht="13.5">
      <c r="A15" s="6" t="s">
        <v>13</v>
      </c>
      <c r="B15" s="6">
        <v>4</v>
      </c>
      <c r="C15" s="6">
        <v>6</v>
      </c>
      <c r="D15" s="6">
        <v>0</v>
      </c>
      <c r="E15" s="6">
        <v>10</v>
      </c>
      <c r="F15" s="6">
        <v>3080</v>
      </c>
    </row>
    <row r="16" spans="1:45" s="3" customFormat="1" ht="13.5">
      <c r="A16" s="6" t="s">
        <v>14</v>
      </c>
      <c r="B16" s="6">
        <v>16</v>
      </c>
      <c r="C16" s="6">
        <v>32</v>
      </c>
      <c r="D16" s="6">
        <v>0</v>
      </c>
      <c r="E16" s="6">
        <v>48</v>
      </c>
      <c r="F16" s="6">
        <v>14080</v>
      </c>
    </row>
    <row r="17" spans="1:6" ht="13.5">
      <c r="A17" s="11" t="s">
        <v>0</v>
      </c>
      <c r="B17" s="11">
        <f>SUM(B4:B16)</f>
        <v>597</v>
      </c>
      <c r="C17" s="11">
        <f t="shared" ref="C17:F17" si="0">SUM(C4:C16)</f>
        <v>966</v>
      </c>
      <c r="D17" s="11">
        <f t="shared" si="0"/>
        <v>18</v>
      </c>
      <c r="E17" s="11">
        <f t="shared" si="0"/>
        <v>1581</v>
      </c>
      <c r="F17" s="11">
        <f t="shared" si="0"/>
        <v>483780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B10" sqref="B10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52</v>
      </c>
      <c r="C4" s="6">
        <v>153</v>
      </c>
      <c r="D4" s="6">
        <v>18</v>
      </c>
      <c r="E4" s="6">
        <v>223</v>
      </c>
      <c r="F4" s="6">
        <v>64460</v>
      </c>
    </row>
    <row r="5" spans="1:45" ht="13.5">
      <c r="A5" s="6" t="s">
        <v>20</v>
      </c>
      <c r="B5" s="6">
        <v>377</v>
      </c>
      <c r="C5" s="6">
        <v>541</v>
      </c>
      <c r="D5" s="6">
        <v>0</v>
      </c>
      <c r="E5" s="6">
        <v>918</v>
      </c>
      <c r="F5" s="6">
        <v>284845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2200</v>
      </c>
    </row>
    <row r="7" spans="1:45" ht="13.5">
      <c r="A7" s="6" t="s">
        <v>9</v>
      </c>
      <c r="B7" s="6">
        <v>8</v>
      </c>
      <c r="C7" s="6">
        <v>17</v>
      </c>
      <c r="D7" s="6">
        <v>0</v>
      </c>
      <c r="E7" s="6">
        <v>25</v>
      </c>
      <c r="F7" s="6">
        <v>7260</v>
      </c>
    </row>
    <row r="8" spans="1:45" ht="13.5">
      <c r="A8" s="6" t="s">
        <v>7</v>
      </c>
      <c r="B8" s="6">
        <v>18</v>
      </c>
      <c r="C8" s="6">
        <v>22</v>
      </c>
      <c r="D8" s="6">
        <v>0</v>
      </c>
      <c r="E8" s="6">
        <v>40</v>
      </c>
      <c r="F8" s="6">
        <v>12760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660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1540</v>
      </c>
    </row>
    <row r="12" spans="1:45" s="3" customFormat="1" ht="13.5">
      <c r="A12" s="6" t="s">
        <v>8</v>
      </c>
      <c r="B12" s="6">
        <v>102</v>
      </c>
      <c r="C12" s="6">
        <v>166</v>
      </c>
      <c r="D12" s="6">
        <v>0</v>
      </c>
      <c r="E12" s="6">
        <v>268</v>
      </c>
      <c r="F12" s="6">
        <v>81310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7865</v>
      </c>
    </row>
    <row r="14" spans="1:45" s="3" customFormat="1" ht="13.5">
      <c r="A14" s="6" t="s">
        <v>21</v>
      </c>
      <c r="B14" s="6">
        <v>2</v>
      </c>
      <c r="C14" s="6">
        <v>4</v>
      </c>
      <c r="D14" s="6">
        <v>0</v>
      </c>
      <c r="E14" s="6">
        <v>6</v>
      </c>
      <c r="F14" s="6">
        <v>1760</v>
      </c>
    </row>
    <row r="15" spans="1:45" s="3" customFormat="1" ht="13.5">
      <c r="A15" s="6" t="s">
        <v>13</v>
      </c>
      <c r="B15" s="6">
        <v>4</v>
      </c>
      <c r="C15" s="6">
        <v>6</v>
      </c>
      <c r="D15" s="6">
        <v>0</v>
      </c>
      <c r="E15" s="6">
        <v>10</v>
      </c>
      <c r="F15" s="6">
        <v>3080</v>
      </c>
    </row>
    <row r="16" spans="1:45" s="3" customFormat="1" ht="13.5">
      <c r="A16" s="6" t="s">
        <v>14</v>
      </c>
      <c r="B16" s="6">
        <v>16</v>
      </c>
      <c r="C16" s="6">
        <v>32</v>
      </c>
      <c r="D16" s="6">
        <v>0</v>
      </c>
      <c r="E16" s="6">
        <v>48</v>
      </c>
      <c r="F16" s="6">
        <v>14080</v>
      </c>
    </row>
    <row r="17" spans="1:6" ht="13.5">
      <c r="A17" s="11" t="s">
        <v>0</v>
      </c>
      <c r="B17" s="11">
        <f>SUM(B4:B16)</f>
        <v>596</v>
      </c>
      <c r="C17" s="11">
        <f t="shared" ref="C17:F17" si="0">SUM(C4:C16)</f>
        <v>966</v>
      </c>
      <c r="D17" s="11">
        <f t="shared" si="0"/>
        <v>18</v>
      </c>
      <c r="E17" s="11">
        <f t="shared" si="0"/>
        <v>1580</v>
      </c>
      <c r="F17" s="11">
        <f t="shared" si="0"/>
        <v>482480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17" sqref="A17:F17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54</v>
      </c>
      <c r="C4" s="6">
        <v>153</v>
      </c>
      <c r="D4" s="6">
        <v>18</v>
      </c>
      <c r="E4" s="6">
        <v>225</v>
      </c>
      <c r="F4" s="6">
        <v>66000</v>
      </c>
    </row>
    <row r="5" spans="1:45" ht="13.5">
      <c r="A5" s="6" t="s">
        <v>20</v>
      </c>
      <c r="B5" s="6">
        <v>375</v>
      </c>
      <c r="C5" s="6">
        <v>540</v>
      </c>
      <c r="D5" s="6">
        <v>0</v>
      </c>
      <c r="E5" s="6">
        <v>915</v>
      </c>
      <c r="F5" s="6">
        <v>283635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2200</v>
      </c>
    </row>
    <row r="7" spans="1:45" ht="13.5">
      <c r="A7" s="6" t="s">
        <v>9</v>
      </c>
      <c r="B7" s="6">
        <v>7</v>
      </c>
      <c r="C7" s="6">
        <v>17</v>
      </c>
      <c r="D7" s="6">
        <v>0</v>
      </c>
      <c r="E7" s="6">
        <v>24</v>
      </c>
      <c r="F7" s="6">
        <v>6820</v>
      </c>
    </row>
    <row r="8" spans="1:45" ht="13.5">
      <c r="A8" s="6" t="s">
        <v>7</v>
      </c>
      <c r="B8" s="6">
        <v>18</v>
      </c>
      <c r="C8" s="6">
        <v>22</v>
      </c>
      <c r="D8" s="6">
        <v>0</v>
      </c>
      <c r="E8" s="6">
        <v>40</v>
      </c>
      <c r="F8" s="6">
        <v>12760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660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1540</v>
      </c>
    </row>
    <row r="12" spans="1:45" s="3" customFormat="1" ht="13.5">
      <c r="A12" s="6" t="s">
        <v>8</v>
      </c>
      <c r="B12" s="6">
        <v>102</v>
      </c>
      <c r="C12" s="6">
        <v>165</v>
      </c>
      <c r="D12" s="6">
        <v>0</v>
      </c>
      <c r="E12" s="6">
        <v>267</v>
      </c>
      <c r="F12" s="6">
        <v>81035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7920</v>
      </c>
    </row>
    <row r="14" spans="1:45" s="3" customFormat="1" ht="13.5">
      <c r="A14" s="6" t="s">
        <v>21</v>
      </c>
      <c r="B14" s="6">
        <v>2</v>
      </c>
      <c r="C14" s="6">
        <v>4</v>
      </c>
      <c r="D14" s="6">
        <v>0</v>
      </c>
      <c r="E14" s="6">
        <v>6</v>
      </c>
      <c r="F14" s="6">
        <v>1760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2640</v>
      </c>
    </row>
    <row r="16" spans="1:45" s="3" customFormat="1" ht="13.5">
      <c r="A16" s="6" t="s">
        <v>14</v>
      </c>
      <c r="B16" s="6">
        <v>16</v>
      </c>
      <c r="C16" s="6">
        <v>32</v>
      </c>
      <c r="D16" s="6">
        <v>0</v>
      </c>
      <c r="E16" s="6">
        <v>48</v>
      </c>
      <c r="F16" s="6">
        <v>14080</v>
      </c>
    </row>
    <row r="17" spans="1:6" ht="13.5">
      <c r="A17" s="11" t="s">
        <v>0</v>
      </c>
      <c r="B17" s="11">
        <f>SUM(B4:B16)</f>
        <v>594</v>
      </c>
      <c r="C17" s="11">
        <f t="shared" ref="C17:F17" si="0">SUM(C4:C16)</f>
        <v>964</v>
      </c>
      <c r="D17" s="11">
        <f t="shared" si="0"/>
        <v>18</v>
      </c>
      <c r="E17" s="11">
        <f t="shared" si="0"/>
        <v>1576</v>
      </c>
      <c r="F17" s="11">
        <f t="shared" si="0"/>
        <v>481710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5" sqref="A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54</v>
      </c>
      <c r="C4" s="6">
        <v>153</v>
      </c>
      <c r="D4" s="6">
        <v>18</v>
      </c>
      <c r="E4" s="6">
        <v>225</v>
      </c>
      <c r="F4" s="6">
        <v>65640</v>
      </c>
    </row>
    <row r="5" spans="1:45" ht="13.5">
      <c r="A5" s="6" t="s">
        <v>20</v>
      </c>
      <c r="B5" s="6">
        <v>370</v>
      </c>
      <c r="C5" s="6">
        <v>540</v>
      </c>
      <c r="D5" s="6">
        <v>0</v>
      </c>
      <c r="E5" s="6">
        <v>910</v>
      </c>
      <c r="F5" s="6">
        <v>284495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2200</v>
      </c>
    </row>
    <row r="7" spans="1:45" ht="13.5">
      <c r="A7" s="6" t="s">
        <v>9</v>
      </c>
      <c r="B7" s="6">
        <v>7</v>
      </c>
      <c r="C7" s="6">
        <v>17</v>
      </c>
      <c r="D7" s="6">
        <v>0</v>
      </c>
      <c r="E7" s="6">
        <v>24</v>
      </c>
      <c r="F7" s="6">
        <v>6940</v>
      </c>
    </row>
    <row r="8" spans="1:45" ht="13.5">
      <c r="A8" s="6" t="s">
        <v>7</v>
      </c>
      <c r="B8" s="6">
        <v>18</v>
      </c>
      <c r="C8" s="6">
        <v>22</v>
      </c>
      <c r="D8" s="6">
        <v>0</v>
      </c>
      <c r="E8" s="6">
        <v>40</v>
      </c>
      <c r="F8" s="6">
        <v>12880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720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1570</v>
      </c>
    </row>
    <row r="12" spans="1:45" s="3" customFormat="1" ht="13.5">
      <c r="A12" s="6" t="s">
        <v>8</v>
      </c>
      <c r="B12" s="6">
        <v>105</v>
      </c>
      <c r="C12" s="6">
        <v>166</v>
      </c>
      <c r="D12" s="6">
        <v>0</v>
      </c>
      <c r="E12" s="6">
        <v>271</v>
      </c>
      <c r="F12" s="6">
        <v>85117.5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8040</v>
      </c>
    </row>
    <row r="14" spans="1:45" s="3" customFormat="1" ht="13.5">
      <c r="A14" s="6" t="s">
        <v>21</v>
      </c>
      <c r="B14" s="6">
        <v>2</v>
      </c>
      <c r="C14" s="6">
        <v>4</v>
      </c>
      <c r="D14" s="6">
        <v>0</v>
      </c>
      <c r="E14" s="6">
        <v>6</v>
      </c>
      <c r="F14" s="6">
        <v>1760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2640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13850</v>
      </c>
    </row>
    <row r="17" spans="1:6" ht="13.5">
      <c r="A17" s="11" t="s">
        <v>0</v>
      </c>
      <c r="B17" s="11">
        <f>SUM(B4:B16)</f>
        <v>591</v>
      </c>
      <c r="C17" s="11">
        <f t="shared" ref="C17:F17" si="0">SUM(C4:C16)</f>
        <v>965</v>
      </c>
      <c r="D17" s="11">
        <f t="shared" si="0"/>
        <v>18</v>
      </c>
      <c r="E17" s="11">
        <f t="shared" si="0"/>
        <v>1574</v>
      </c>
      <c r="F17" s="11">
        <f t="shared" si="0"/>
        <v>486512.5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13" sqref="A13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58</v>
      </c>
      <c r="C4" s="6">
        <v>160</v>
      </c>
      <c r="D4" s="6">
        <v>18</v>
      </c>
      <c r="E4" s="6">
        <v>236</v>
      </c>
      <c r="F4" s="6">
        <v>68940</v>
      </c>
    </row>
    <row r="5" spans="1:45" ht="13.5">
      <c r="A5" s="6" t="s">
        <v>20</v>
      </c>
      <c r="B5" s="6">
        <v>371</v>
      </c>
      <c r="C5" s="6">
        <v>533</v>
      </c>
      <c r="D5" s="6">
        <v>0</v>
      </c>
      <c r="E5" s="6">
        <v>904</v>
      </c>
      <c r="F5" s="6">
        <v>284325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2200</v>
      </c>
    </row>
    <row r="7" spans="1:45" ht="13.5">
      <c r="A7" s="6" t="s">
        <v>9</v>
      </c>
      <c r="B7" s="6">
        <v>7</v>
      </c>
      <c r="C7" s="6">
        <v>17</v>
      </c>
      <c r="D7" s="6">
        <v>0</v>
      </c>
      <c r="E7" s="6">
        <v>24</v>
      </c>
      <c r="F7" s="6">
        <v>6940</v>
      </c>
    </row>
    <row r="8" spans="1:45" ht="13.5">
      <c r="A8" s="6" t="s">
        <v>7</v>
      </c>
      <c r="B8" s="6">
        <v>18</v>
      </c>
      <c r="C8" s="6">
        <v>22</v>
      </c>
      <c r="D8" s="6">
        <v>0</v>
      </c>
      <c r="E8" s="6">
        <v>40</v>
      </c>
      <c r="F8" s="6">
        <v>12880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720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1570</v>
      </c>
    </row>
    <row r="12" spans="1:45" s="3" customFormat="1" ht="13.5">
      <c r="A12" s="6" t="s">
        <v>8</v>
      </c>
      <c r="B12" s="6">
        <v>107</v>
      </c>
      <c r="C12" s="6">
        <v>170</v>
      </c>
      <c r="D12" s="6">
        <v>0</v>
      </c>
      <c r="E12" s="6">
        <v>277</v>
      </c>
      <c r="F12" s="6">
        <v>86417.5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8040</v>
      </c>
    </row>
    <row r="14" spans="1:45" s="3" customFormat="1" ht="13.5">
      <c r="A14" s="6" t="s">
        <v>21</v>
      </c>
      <c r="B14" s="6">
        <v>2</v>
      </c>
      <c r="C14" s="6">
        <v>4</v>
      </c>
      <c r="D14" s="6">
        <v>0</v>
      </c>
      <c r="E14" s="6">
        <v>6</v>
      </c>
      <c r="F14" s="6">
        <v>1760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2640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13850</v>
      </c>
    </row>
    <row r="17" spans="1:6" ht="13.5">
      <c r="A17" s="11" t="s">
        <v>0</v>
      </c>
      <c r="B17" s="11">
        <f>SUM(B4:B16)</f>
        <v>598</v>
      </c>
      <c r="C17" s="11">
        <f t="shared" ref="C17:F17" si="0">SUM(C4:C16)</f>
        <v>969</v>
      </c>
      <c r="D17" s="11">
        <f t="shared" si="0"/>
        <v>18</v>
      </c>
      <c r="E17" s="11">
        <f t="shared" si="0"/>
        <v>1585</v>
      </c>
      <c r="F17" s="11">
        <f t="shared" si="0"/>
        <v>490942.5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9" sqref="A9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53</v>
      </c>
      <c r="C4" s="6">
        <v>162</v>
      </c>
      <c r="D4" s="6">
        <v>19</v>
      </c>
      <c r="E4" s="6">
        <v>234</v>
      </c>
      <c r="F4" s="6">
        <v>68940</v>
      </c>
    </row>
    <row r="5" spans="1:45" ht="13.5">
      <c r="A5" s="6" t="s">
        <v>20</v>
      </c>
      <c r="B5" s="6">
        <v>373</v>
      </c>
      <c r="C5" s="6">
        <v>540</v>
      </c>
      <c r="D5" s="6">
        <v>0</v>
      </c>
      <c r="E5" s="6">
        <v>913</v>
      </c>
      <c r="F5" s="6">
        <v>290790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2200</v>
      </c>
    </row>
    <row r="7" spans="1:45" ht="13.5">
      <c r="A7" s="6" t="s">
        <v>9</v>
      </c>
      <c r="B7" s="6">
        <v>6</v>
      </c>
      <c r="C7" s="6">
        <v>17</v>
      </c>
      <c r="D7" s="6">
        <v>0</v>
      </c>
      <c r="E7" s="6">
        <v>23</v>
      </c>
      <c r="F7" s="6">
        <v>6440</v>
      </c>
    </row>
    <row r="8" spans="1:45" ht="13.5">
      <c r="A8" s="6" t="s">
        <v>7</v>
      </c>
      <c r="B8" s="6">
        <v>26</v>
      </c>
      <c r="C8" s="6">
        <v>32</v>
      </c>
      <c r="D8" s="6">
        <v>0</v>
      </c>
      <c r="E8" s="6">
        <v>58</v>
      </c>
      <c r="F8" s="6">
        <v>18665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720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1570</v>
      </c>
    </row>
    <row r="12" spans="1:45" s="3" customFormat="1" ht="13.5">
      <c r="A12" s="6" t="s">
        <v>8</v>
      </c>
      <c r="B12" s="6">
        <v>113</v>
      </c>
      <c r="C12" s="6">
        <v>176</v>
      </c>
      <c r="D12" s="6">
        <v>0</v>
      </c>
      <c r="E12" s="6">
        <v>289</v>
      </c>
      <c r="F12" s="6">
        <v>90207.5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8040</v>
      </c>
    </row>
    <row r="14" spans="1:45" s="3" customFormat="1" ht="13.5">
      <c r="A14" s="6" t="s">
        <v>21</v>
      </c>
      <c r="B14" s="6">
        <v>2</v>
      </c>
      <c r="C14" s="6">
        <v>4</v>
      </c>
      <c r="D14" s="6">
        <v>0</v>
      </c>
      <c r="E14" s="6">
        <v>6</v>
      </c>
      <c r="F14" s="6">
        <v>1760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2640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13850</v>
      </c>
    </row>
    <row r="17" spans="1:6" ht="13.5">
      <c r="A17" s="11" t="s">
        <v>0</v>
      </c>
      <c r="B17" s="11">
        <f>SUM(B4:B16)</f>
        <v>608</v>
      </c>
      <c r="C17" s="11">
        <f t="shared" ref="C17:F17" si="0">SUM(C4:C16)</f>
        <v>994</v>
      </c>
      <c r="D17" s="11">
        <f t="shared" si="0"/>
        <v>19</v>
      </c>
      <c r="E17" s="11">
        <f t="shared" si="0"/>
        <v>1621</v>
      </c>
      <c r="F17" s="11">
        <f t="shared" si="0"/>
        <v>506482.5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C11" sqref="C11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53</v>
      </c>
      <c r="C4" s="6">
        <v>161</v>
      </c>
      <c r="D4" s="6">
        <v>19</v>
      </c>
      <c r="E4" s="6">
        <v>233</v>
      </c>
      <c r="F4" s="6">
        <v>67340</v>
      </c>
    </row>
    <row r="5" spans="1:45" ht="13.5">
      <c r="A5" s="6" t="s">
        <v>20</v>
      </c>
      <c r="B5" s="6">
        <v>374</v>
      </c>
      <c r="C5" s="6">
        <v>537</v>
      </c>
      <c r="D5" s="6">
        <v>0</v>
      </c>
      <c r="E5" s="6">
        <v>911</v>
      </c>
      <c r="F5" s="6">
        <v>286212.5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2200</v>
      </c>
    </row>
    <row r="7" spans="1:45" ht="13.5">
      <c r="A7" s="6" t="s">
        <v>9</v>
      </c>
      <c r="B7" s="6">
        <v>7</v>
      </c>
      <c r="C7" s="6">
        <v>17</v>
      </c>
      <c r="D7" s="6">
        <v>0</v>
      </c>
      <c r="E7" s="6">
        <v>24</v>
      </c>
      <c r="F7" s="6">
        <v>6880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21195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720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1570</v>
      </c>
    </row>
    <row r="12" spans="1:45" s="3" customFormat="1" ht="13.5">
      <c r="A12" s="6" t="s">
        <v>8</v>
      </c>
      <c r="B12" s="6">
        <v>113</v>
      </c>
      <c r="C12" s="6">
        <v>175</v>
      </c>
      <c r="D12" s="6">
        <v>0</v>
      </c>
      <c r="E12" s="6">
        <v>288</v>
      </c>
      <c r="F12" s="6">
        <v>89822.5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8040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1980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2640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13850</v>
      </c>
    </row>
    <row r="17" spans="1:6" ht="13.5">
      <c r="A17" s="11" t="s">
        <v>0</v>
      </c>
      <c r="B17" s="11">
        <f>SUM(B4:B16)</f>
        <v>611</v>
      </c>
      <c r="C17" s="11">
        <f t="shared" ref="C17:F17" si="0">SUM(C4:C16)</f>
        <v>993</v>
      </c>
      <c r="D17" s="11">
        <f t="shared" si="0"/>
        <v>19</v>
      </c>
      <c r="E17" s="11">
        <f t="shared" si="0"/>
        <v>1623</v>
      </c>
      <c r="F17" s="11">
        <f t="shared" si="0"/>
        <v>503110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tabSelected="1" view="pageBreakPreview" zoomScaleSheetLayoutView="100" workbookViewId="0">
      <selection activeCell="A3" sqref="A3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57</v>
      </c>
      <c r="C4" s="6">
        <v>159</v>
      </c>
      <c r="D4" s="6">
        <v>19</v>
      </c>
      <c r="E4" s="6">
        <v>235</v>
      </c>
      <c r="F4" s="6">
        <v>68600</v>
      </c>
    </row>
    <row r="5" spans="1:45" ht="13.5">
      <c r="A5" s="6" t="s">
        <v>20</v>
      </c>
      <c r="B5" s="6">
        <v>374</v>
      </c>
      <c r="C5" s="6">
        <v>539</v>
      </c>
      <c r="D5" s="6">
        <v>0</v>
      </c>
      <c r="E5" s="6">
        <v>913</v>
      </c>
      <c r="F5" s="6">
        <v>286347.5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2200</v>
      </c>
    </row>
    <row r="7" spans="1:45" ht="13.5">
      <c r="A7" s="6" t="s">
        <v>9</v>
      </c>
      <c r="B7" s="6">
        <v>7</v>
      </c>
      <c r="C7" s="6">
        <v>17</v>
      </c>
      <c r="D7" s="6">
        <v>0</v>
      </c>
      <c r="E7" s="6">
        <v>24</v>
      </c>
      <c r="F7" s="6">
        <v>6880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19592.5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720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1570</v>
      </c>
    </row>
    <row r="12" spans="1:45" s="3" customFormat="1" ht="13.5">
      <c r="A12" s="6" t="s">
        <v>8</v>
      </c>
      <c r="B12" s="6">
        <v>112</v>
      </c>
      <c r="C12" s="6">
        <v>177</v>
      </c>
      <c r="D12" s="6">
        <v>0</v>
      </c>
      <c r="E12" s="6">
        <v>289</v>
      </c>
      <c r="F12" s="6">
        <v>90130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8040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1980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2640</v>
      </c>
    </row>
    <row r="16" spans="1:45" s="3" customFormat="1" ht="13.5">
      <c r="A16" s="6" t="s">
        <v>14</v>
      </c>
      <c r="B16" s="6">
        <v>15</v>
      </c>
      <c r="C16" s="6">
        <v>34</v>
      </c>
      <c r="D16" s="6">
        <v>0</v>
      </c>
      <c r="E16" s="6">
        <v>49</v>
      </c>
      <c r="F16" s="6">
        <v>14265</v>
      </c>
    </row>
    <row r="17" spans="1:6" ht="13.5">
      <c r="A17" s="11" t="s">
        <v>0</v>
      </c>
      <c r="B17" s="11">
        <f>SUM(B4:B16)</f>
        <v>614</v>
      </c>
      <c r="C17" s="11">
        <f t="shared" ref="C17:F17" si="0">SUM(C4:C16)</f>
        <v>997</v>
      </c>
      <c r="D17" s="11">
        <f t="shared" si="0"/>
        <v>19</v>
      </c>
      <c r="E17" s="11">
        <f t="shared" si="0"/>
        <v>1630</v>
      </c>
      <c r="F17" s="11">
        <f t="shared" si="0"/>
        <v>503625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2023-03-22T08:41:01Z</dcterms:modified>
</cp:coreProperties>
</file>