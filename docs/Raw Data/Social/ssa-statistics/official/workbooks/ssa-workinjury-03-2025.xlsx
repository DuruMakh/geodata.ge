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1.3_რეგრესი\"/>
    </mc:Choice>
  </mc:AlternateContent>
  <xr:revisionPtr revIDLastSave="0" documentId="13_ncr:1_{A5D24F90-5CD5-4DE7-BFF8-D000766699E5}" xr6:coauthVersionLast="47" xr6:coauthVersionMax="47" xr10:uidLastSave="{00000000-0000-0000-0000-000000000000}"/>
  <bookViews>
    <workbookView xWindow="29190" yWindow="390" windowWidth="27795" windowHeight="15600" firstSheet="2" activeTab="11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  <sheet name="ოქტომბერი" sheetId="23" r:id="rId10"/>
    <sheet name="ნოემბერი" sheetId="24" r:id="rId11"/>
    <sheet name="დეკემბერი" sheetId="25" r:id="rId12"/>
    <sheet name="February" sheetId="4" state="hidden" r:id="rId13"/>
    <sheet name="March" sheetId="5" state="hidden" r:id="rId14"/>
    <sheet name="April" sheetId="6" state="hidden" r:id="rId15"/>
    <sheet name="May" sheetId="7" state="hidden" r:id="rId16"/>
    <sheet name="June" sheetId="8" state="hidden" r:id="rId17"/>
    <sheet name="July" sheetId="9" state="hidden" r:id="rId18"/>
    <sheet name="August" sheetId="10" state="hidden" r:id="rId19"/>
    <sheet name="September" sheetId="11" state="hidden" r:id="rId20"/>
    <sheet name="October" sheetId="12" state="hidden" r:id="rId21"/>
    <sheet name="November" sheetId="13" state="hidden" r:id="rId22"/>
    <sheet name="December" sheetId="14" state="hidden" r:id="rId23"/>
  </sheets>
  <definedNames>
    <definedName name="_xlnm.Print_Area" localSheetId="14">April!$A$1:$G$85</definedName>
    <definedName name="_xlnm.Print_Area" localSheetId="18">August!$A$1:$G$85</definedName>
    <definedName name="_xlnm.Print_Area" localSheetId="22">December!$A$1:$G$85</definedName>
    <definedName name="_xlnm.Print_Area" localSheetId="12">February!$A$1:$G$85</definedName>
    <definedName name="_xlnm.Print_Area" localSheetId="17">July!$A$1:$G$85</definedName>
    <definedName name="_xlnm.Print_Area" localSheetId="16">June!$A$1:$G$85</definedName>
    <definedName name="_xlnm.Print_Area" localSheetId="13">March!$A$1:$G$85</definedName>
    <definedName name="_xlnm.Print_Area" localSheetId="15">May!$A$1:$G$85</definedName>
    <definedName name="_xlnm.Print_Area" localSheetId="21">November!$A$1:$G$85</definedName>
    <definedName name="_xlnm.Print_Area" localSheetId="20">October!$A$1:$G$85</definedName>
    <definedName name="_xlnm.Print_Area" localSheetId="19">September!$A$1:$G$85</definedName>
    <definedName name="_xlnm.Print_Area" localSheetId="7">აგვისტო!$A$1:$G$85</definedName>
    <definedName name="_xlnm.Print_Area" localSheetId="3">აპრილი!$A$1:$G$85</definedName>
    <definedName name="_xlnm.Print_Area" localSheetId="11">დეკემბერი!$A$1:$G$85</definedName>
    <definedName name="_xlnm.Print_Area" localSheetId="1">თებერვალი!$A$1:$G$85</definedName>
    <definedName name="_xlnm.Print_Area" localSheetId="0">იანვარი!$A$1:$G$85</definedName>
    <definedName name="_xlnm.Print_Area" localSheetId="6">ივლისი!$A$1:$G$85</definedName>
    <definedName name="_xlnm.Print_Area" localSheetId="5">ივნისი!$A$1:$G$85</definedName>
    <definedName name="_xlnm.Print_Area" localSheetId="4">მაისი!$A$1:$G$85</definedName>
    <definedName name="_xlnm.Print_Area" localSheetId="2">მარტი!$A$1:$G$85</definedName>
    <definedName name="_xlnm.Print_Area" localSheetId="10">ნოემბერი!$A$1:$G$85</definedName>
    <definedName name="_xlnm.Print_Area" localSheetId="9">ოქტომბერი!$A$1:$G$85</definedName>
    <definedName name="_xlnm.Print_Area" localSheetId="8">სექტემბერი!$A$1:$G$85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5" i="14" l="1"/>
  <c r="F85" i="14"/>
  <c r="E85" i="14"/>
  <c r="D85" i="14"/>
  <c r="C85" i="14"/>
  <c r="B85" i="14"/>
  <c r="G85" i="13"/>
  <c r="F85" i="13"/>
  <c r="E85" i="13"/>
  <c r="D85" i="13"/>
  <c r="C85" i="13"/>
  <c r="B85" i="13"/>
  <c r="G85" i="12"/>
  <c r="F85" i="12"/>
  <c r="E85" i="12"/>
  <c r="D85" i="12"/>
  <c r="C85" i="12"/>
  <c r="B85" i="12"/>
  <c r="G85" i="11"/>
  <c r="F85" i="11"/>
  <c r="E85" i="11"/>
  <c r="D85" i="11"/>
  <c r="C85" i="11"/>
  <c r="B85" i="11"/>
  <c r="G85" i="10"/>
  <c r="F85" i="10"/>
  <c r="E85" i="10"/>
  <c r="D85" i="10"/>
  <c r="C85" i="10"/>
  <c r="B85" i="10"/>
  <c r="G85" i="9"/>
  <c r="F85" i="9"/>
  <c r="E85" i="9"/>
  <c r="D85" i="9"/>
  <c r="C85" i="9"/>
  <c r="B85" i="9"/>
  <c r="G85" i="8"/>
  <c r="F85" i="8"/>
  <c r="E85" i="8"/>
  <c r="D85" i="8"/>
  <c r="C85" i="8"/>
  <c r="B85" i="8"/>
  <c r="G85" i="7"/>
  <c r="F85" i="7"/>
  <c r="E85" i="7"/>
  <c r="D85" i="7"/>
  <c r="C85" i="7"/>
  <c r="B85" i="7"/>
  <c r="G85" i="6" l="1"/>
  <c r="F85" i="6"/>
  <c r="E85" i="6"/>
  <c r="D85" i="6"/>
  <c r="C85" i="6"/>
  <c r="B85" i="6"/>
  <c r="G85" i="5" l="1"/>
  <c r="F85" i="5"/>
  <c r="E85" i="5"/>
  <c r="D85" i="5"/>
  <c r="C85" i="5"/>
  <c r="B85" i="5"/>
  <c r="G85" i="4" l="1"/>
  <c r="F85" i="4"/>
  <c r="E85" i="4"/>
  <c r="D85" i="4"/>
  <c r="C85" i="4"/>
  <c r="B85" i="4"/>
</calcChain>
</file>

<file path=xl/sharedStrings.xml><?xml version="1.0" encoding="utf-8"?>
<sst xmlns="http://schemas.openxmlformats.org/spreadsheetml/2006/main" count="2093" uniqueCount="90">
  <si>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</si>
  <si>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</si>
  <si>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</si>
  <si>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</si>
  <si>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</si>
  <si>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</si>
  <si>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</si>
  <si>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</si>
  <si>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</si>
  <si>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</si>
  <si>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</si>
  <si>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</si>
  <si>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</si>
  <si>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</si>
  <si>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</si>
  <si>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</si>
  <si>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</si>
  <si>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</si>
  <si>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</si>
  <si>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</si>
  <si>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</si>
  <si>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</si>
  <si>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</si>
  <si>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</si>
  <si>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</si>
  <si>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</si>
  <si>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</si>
  <si>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</si>
  <si>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</si>
  <si>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</si>
  <si>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</si>
  <si>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</si>
  <si>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</si>
  <si>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</si>
  <si>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</si>
  <si>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</si>
  <si>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</si>
  <si>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</si>
  <si>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</si>
  <si>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</si>
  <si>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</si>
  <si>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</si>
  <si>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</si>
  <si>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</si>
  <si>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</si>
  <si>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</si>
  <si>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</si>
  <si>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</si>
  <si>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</si>
  <si>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</si>
  <si>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</si>
  <si>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</si>
  <si>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</si>
  <si>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</si>
  <si>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</si>
  <si>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</si>
  <si>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</si>
  <si>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</si>
  <si>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</si>
  <si>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</si>
  <si>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</si>
  <si>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</si>
  <si>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</si>
  <si>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</si>
  <si>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</si>
  <si>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</si>
  <si>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</si>
  <si>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</si>
  <si>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</si>
  <si>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</si>
  <si>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</si>
  <si>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</si>
  <si>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</si>
  <si>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</si>
  <si>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</si>
  <si>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</si>
  <si>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</si>
  <si>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</si>
  <si>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</si>
  <si>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</si>
  <si>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</si>
  <si>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</si>
  <si>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</si>
  <si>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</si>
  <si>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</si>
  <si>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</si>
  <si>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</si>
  <si>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</si>
  <si>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დახმარებისათვის გადარიცხული თანხა,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</si>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</sst>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Sylfaen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7">
    <xf numFmtId="0" fontId="0" fillId="0" borderId="0" xfId="0"/>
    <xf numFmtId="164" fontId="3" fillId="2" borderId="2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3" fillId="28" borderId="13" xfId="2" applyNumberFormat="1" applyFont="1" applyFill="1" applyBorder="1" applyAlignment="1">
      <alignment horizontal="center" vertical="center" wrapText="1"/>
    </xf>
    <xf numFmtId="164" fontId="4" fillId="28" borderId="1" xfId="2" applyNumberFormat="1" applyFont="1" applyFill="1" applyBorder="1" applyAlignment="1"/>
    <xf numFmtId="164" fontId="4" fillId="28" borderId="1" xfId="2" applyNumberFormat="1" applyFont="1" applyFill="1" applyBorder="1" applyAlignment="1">
      <alignment horizontal="right"/>
    </xf>
    <xf numFmtId="164" fontId="4" fillId="28" borderId="2" xfId="2" applyNumberFormat="1" applyFont="1" applyFill="1" applyBorder="1" applyAlignment="1"/>
    <xf numFmtId="164" fontId="4" fillId="28" borderId="2" xfId="2" applyNumberFormat="1" applyFont="1" applyFill="1" applyBorder="1" applyAlignment="1">
      <alignment horizontal="right"/>
    </xf>
    <xf numFmtId="164" fontId="3" fillId="28" borderId="1" xfId="2" applyNumberFormat="1" applyFont="1" applyFill="1" applyBorder="1" applyAlignment="1"/>
    <xf numFmtId="164" fontId="3" fillId="28" borderId="1" xfId="2" applyNumberFormat="1" applyFont="1" applyFill="1" applyBorder="1" applyAlignment="1">
      <alignment horizontal="right"/>
    </xf>
    <xf numFmtId="164" fontId="3" fillId="28" borderId="2" xfId="2" applyNumberFormat="1" applyFont="1" applyFill="1" applyBorder="1" applyAlignment="1"/>
    <xf numFmtId="164" fontId="3" fillId="28" borderId="2" xfId="2" applyNumberFormat="1" applyFont="1" applyFill="1" applyBorder="1" applyAlignment="1">
      <alignment horizontal="right"/>
    </xf>
    <xf numFmtId="164" fontId="3" fillId="28" borderId="0" xfId="2" applyNumberFormat="1" applyFont="1" applyFill="1" applyBorder="1" applyAlignment="1"/>
    <xf numFmtId="164" fontId="3" fillId="28" borderId="0" xfId="2" applyNumberFormat="1" applyFont="1" applyFill="1" applyBorder="1" applyAlignment="1">
      <alignment horizontal="right"/>
    </xf>
    <xf numFmtId="164" fontId="3" fillId="28" borderId="15" xfId="2" applyNumberFormat="1" applyFont="1" applyFill="1" applyBorder="1" applyAlignment="1">
      <alignment horizontal="center" vertical="center" wrapText="1"/>
    </xf>
    <xf numFmtId="164" fontId="3" fillId="28" borderId="16" xfId="2" applyNumberFormat="1" applyFont="1" applyFill="1" applyBorder="1" applyAlignment="1">
      <alignment horizontal="center" vertical="center" wrapText="1"/>
    </xf>
    <xf numFmtId="164" fontId="3" fillId="28" borderId="15" xfId="2" applyNumberFormat="1" applyFont="1" applyFill="1" applyBorder="1" applyAlignment="1"/>
    <xf numFmtId="164" fontId="3" fillId="28" borderId="13" xfId="2" applyNumberFormat="1" applyFont="1" applyFill="1" applyBorder="1" applyAlignment="1">
      <alignment horizontal="right"/>
    </xf>
    <xf numFmtId="164" fontId="26" fillId="27" borderId="12" xfId="0" applyNumberFormat="1" applyFont="1" applyFill="1" applyBorder="1" applyAlignment="1">
      <alignment horizontal="centerContinuous" vertical="center" wrapText="1"/>
    </xf>
    <xf numFmtId="164" fontId="26" fillId="27" borderId="14" xfId="0" applyNumberFormat="1" applyFont="1" applyFill="1" applyBorder="1" applyAlignment="1">
      <alignment horizontal="centerContinuous" vertical="center" wrapText="1"/>
    </xf>
    <xf numFmtId="165" fontId="3" fillId="28" borderId="13" xfId="2" applyNumberFormat="1" applyFont="1" applyFill="1" applyBorder="1" applyAlignment="1">
      <alignment horizontal="right"/>
    </xf>
  </cellXfs>
  <cellStyles count="391">
    <cellStyle name="20% - Accent1 2" xfId="6" xr:uid="{00000000-0005-0000-0000-000000000000}"/>
    <cellStyle name="20% - Accent1 2 2" xfId="7" xr:uid="{00000000-0005-0000-0000-000001000000}"/>
    <cellStyle name="20% - Accent1 3" xfId="8" xr:uid="{00000000-0005-0000-0000-000002000000}"/>
    <cellStyle name="20% - Accent1 3 2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3" xfId="12" xr:uid="{00000000-0005-0000-0000-000006000000}"/>
    <cellStyle name="20% - Accent2 3 2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3" xfId="16" xr:uid="{00000000-0005-0000-0000-00000A000000}"/>
    <cellStyle name="20% - Accent3 3 2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3" xfId="20" xr:uid="{00000000-0005-0000-0000-00000E000000}"/>
    <cellStyle name="20% - Accent4 3 2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3" xfId="24" xr:uid="{00000000-0005-0000-0000-000012000000}"/>
    <cellStyle name="20% - Accent5 3 2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3" xfId="28" xr:uid="{00000000-0005-0000-0000-000016000000}"/>
    <cellStyle name="20% - Accent6 3 2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3" xfId="32" xr:uid="{00000000-0005-0000-0000-00001A000000}"/>
    <cellStyle name="40% - Accent1 3 2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3" xfId="36" xr:uid="{00000000-0005-0000-0000-00001E000000}"/>
    <cellStyle name="40% - Accent2 3 2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3" xfId="40" xr:uid="{00000000-0005-0000-0000-000022000000}"/>
    <cellStyle name="40% - Accent3 3 2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3" xfId="44" xr:uid="{00000000-0005-0000-0000-000026000000}"/>
    <cellStyle name="40% - Accent4 3 2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3" xfId="48" xr:uid="{00000000-0005-0000-0000-00002A000000}"/>
    <cellStyle name="40% - Accent5 3 2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3" xfId="52" xr:uid="{00000000-0005-0000-0000-00002E000000}"/>
    <cellStyle name="40% - Accent6 3 2" xfId="53" xr:uid="{00000000-0005-0000-0000-00002F000000}"/>
    <cellStyle name="60% - Accent1 2" xfId="54" xr:uid="{00000000-0005-0000-0000-000030000000}"/>
    <cellStyle name="60% - Accent1 3" xfId="55" xr:uid="{00000000-0005-0000-0000-000031000000}"/>
    <cellStyle name="60% - Accent2 2" xfId="56" xr:uid="{00000000-0005-0000-0000-000032000000}"/>
    <cellStyle name="60% - Accent2 3" xfId="57" xr:uid="{00000000-0005-0000-0000-000033000000}"/>
    <cellStyle name="60% - Accent3 2" xfId="58" xr:uid="{00000000-0005-0000-0000-000034000000}"/>
    <cellStyle name="60% - Accent3 3" xfId="59" xr:uid="{00000000-0005-0000-0000-000035000000}"/>
    <cellStyle name="60% - Accent4 2" xfId="60" xr:uid="{00000000-0005-0000-0000-000036000000}"/>
    <cellStyle name="60% - Accent4 3" xfId="61" xr:uid="{00000000-0005-0000-0000-000037000000}"/>
    <cellStyle name="60% - Accent5 2" xfId="62" xr:uid="{00000000-0005-0000-0000-000038000000}"/>
    <cellStyle name="60% - Accent5 3" xfId="63" xr:uid="{00000000-0005-0000-0000-000039000000}"/>
    <cellStyle name="60% - Accent6 2" xfId="64" xr:uid="{00000000-0005-0000-0000-00003A000000}"/>
    <cellStyle name="60% - Accent6 3" xfId="65" xr:uid="{00000000-0005-0000-0000-00003B000000}"/>
    <cellStyle name="Accent1 2" xfId="66" xr:uid="{00000000-0005-0000-0000-00003C000000}"/>
    <cellStyle name="Accent1 3" xfId="67" xr:uid="{00000000-0005-0000-0000-00003D000000}"/>
    <cellStyle name="Accent2 2" xfId="68" xr:uid="{00000000-0005-0000-0000-00003E000000}"/>
    <cellStyle name="Accent2 3" xfId="69" xr:uid="{00000000-0005-0000-0000-00003F000000}"/>
    <cellStyle name="Accent3 2" xfId="70" xr:uid="{00000000-0005-0000-0000-000040000000}"/>
    <cellStyle name="Accent3 3" xfId="71" xr:uid="{00000000-0005-0000-0000-000041000000}"/>
    <cellStyle name="Accent4 2" xfId="72" xr:uid="{00000000-0005-0000-0000-000042000000}"/>
    <cellStyle name="Accent4 3" xfId="73" xr:uid="{00000000-0005-0000-0000-000043000000}"/>
    <cellStyle name="Accent5 2" xfId="74" xr:uid="{00000000-0005-0000-0000-000044000000}"/>
    <cellStyle name="Accent5 3" xfId="75" xr:uid="{00000000-0005-0000-0000-000045000000}"/>
    <cellStyle name="Accent6 2" xfId="76" xr:uid="{00000000-0005-0000-0000-000046000000}"/>
    <cellStyle name="Accent6 3" xfId="77" xr:uid="{00000000-0005-0000-0000-000047000000}"/>
    <cellStyle name="Bad 2" xfId="78" xr:uid="{00000000-0005-0000-0000-000048000000}"/>
    <cellStyle name="Bad 3" xfId="79" xr:uid="{00000000-0005-0000-0000-000049000000}"/>
    <cellStyle name="Calculation 2" xfId="80" xr:uid="{00000000-0005-0000-0000-00004A000000}"/>
    <cellStyle name="Calculation 3" xfId="81" xr:uid="{00000000-0005-0000-0000-00004B000000}"/>
    <cellStyle name="Check Cell 2" xfId="82" xr:uid="{00000000-0005-0000-0000-00004C000000}"/>
    <cellStyle name="Check Cell 3" xfId="83" xr:uid="{00000000-0005-0000-0000-00004D000000}"/>
    <cellStyle name="Comma 10" xfId="342" xr:uid="{00000000-0005-0000-0000-00004E000000}"/>
    <cellStyle name="Comma 2" xfId="4" xr:uid="{00000000-0005-0000-0000-00004F000000}"/>
    <cellStyle name="Comma 2 10" xfId="85" xr:uid="{00000000-0005-0000-0000-000050000000}"/>
    <cellStyle name="Comma 2 10 2" xfId="316" xr:uid="{00000000-0005-0000-0000-000051000000}"/>
    <cellStyle name="Comma 2 10 3" xfId="240" xr:uid="{00000000-0005-0000-0000-000052000000}"/>
    <cellStyle name="Comma 2 11" xfId="86" xr:uid="{00000000-0005-0000-0000-000053000000}"/>
    <cellStyle name="Comma 2 11 2" xfId="317" xr:uid="{00000000-0005-0000-0000-000054000000}"/>
    <cellStyle name="Comma 2 11 3" xfId="241" xr:uid="{00000000-0005-0000-0000-000055000000}"/>
    <cellStyle name="Comma 2 12" xfId="87" xr:uid="{00000000-0005-0000-0000-000056000000}"/>
    <cellStyle name="Comma 2 12 2" xfId="318" xr:uid="{00000000-0005-0000-0000-000057000000}"/>
    <cellStyle name="Comma 2 12 3" xfId="242" xr:uid="{00000000-0005-0000-0000-000058000000}"/>
    <cellStyle name="Comma 2 13" xfId="88" xr:uid="{00000000-0005-0000-0000-000059000000}"/>
    <cellStyle name="Comma 2 13 2" xfId="319" xr:uid="{00000000-0005-0000-0000-00005A000000}"/>
    <cellStyle name="Comma 2 13 3" xfId="243" xr:uid="{00000000-0005-0000-0000-00005B000000}"/>
    <cellStyle name="Comma 2 14" xfId="89" xr:uid="{00000000-0005-0000-0000-00005C000000}"/>
    <cellStyle name="Comma 2 14 2" xfId="320" xr:uid="{00000000-0005-0000-0000-00005D000000}"/>
    <cellStyle name="Comma 2 14 3" xfId="244" xr:uid="{00000000-0005-0000-0000-00005E000000}"/>
    <cellStyle name="Comma 2 15" xfId="90" xr:uid="{00000000-0005-0000-0000-00005F000000}"/>
    <cellStyle name="Comma 2 15 2" xfId="321" xr:uid="{00000000-0005-0000-0000-000060000000}"/>
    <cellStyle name="Comma 2 15 3" xfId="245" xr:uid="{00000000-0005-0000-0000-000061000000}"/>
    <cellStyle name="Comma 2 16" xfId="91" xr:uid="{00000000-0005-0000-0000-000062000000}"/>
    <cellStyle name="Comma 2 16 2" xfId="322" xr:uid="{00000000-0005-0000-0000-000063000000}"/>
    <cellStyle name="Comma 2 16 3" xfId="246" xr:uid="{00000000-0005-0000-0000-000064000000}"/>
    <cellStyle name="Comma 2 17" xfId="92" xr:uid="{00000000-0005-0000-0000-000065000000}"/>
    <cellStyle name="Comma 2 17 2" xfId="323" xr:uid="{00000000-0005-0000-0000-000066000000}"/>
    <cellStyle name="Comma 2 17 3" xfId="247" xr:uid="{00000000-0005-0000-0000-000067000000}"/>
    <cellStyle name="Comma 2 18" xfId="93" xr:uid="{00000000-0005-0000-0000-000068000000}"/>
    <cellStyle name="Comma 2 18 2" xfId="324" xr:uid="{00000000-0005-0000-0000-000069000000}"/>
    <cellStyle name="Comma 2 18 3" xfId="248" xr:uid="{00000000-0005-0000-0000-00006A000000}"/>
    <cellStyle name="Comma 2 19" xfId="315" xr:uid="{00000000-0005-0000-0000-00006B000000}"/>
    <cellStyle name="Comma 2 2" xfId="94" xr:uid="{00000000-0005-0000-0000-00006C000000}"/>
    <cellStyle name="Comma 2 2 2" xfId="325" xr:uid="{00000000-0005-0000-0000-00006D000000}"/>
    <cellStyle name="Comma 2 2 3" xfId="249" xr:uid="{00000000-0005-0000-0000-00006E000000}"/>
    <cellStyle name="Comma 2 20" xfId="239" xr:uid="{00000000-0005-0000-0000-00006F000000}"/>
    <cellStyle name="Comma 2 3" xfId="95" xr:uid="{00000000-0005-0000-0000-000070000000}"/>
    <cellStyle name="Comma 2 3 2" xfId="326" xr:uid="{00000000-0005-0000-0000-000071000000}"/>
    <cellStyle name="Comma 2 3 3" xfId="250" xr:uid="{00000000-0005-0000-0000-000072000000}"/>
    <cellStyle name="Comma 2 4" xfId="96" xr:uid="{00000000-0005-0000-0000-000073000000}"/>
    <cellStyle name="Comma 2 4 2" xfId="327" xr:uid="{00000000-0005-0000-0000-000074000000}"/>
    <cellStyle name="Comma 2 4 3" xfId="251" xr:uid="{00000000-0005-0000-0000-000075000000}"/>
    <cellStyle name="Comma 2 5" xfId="97" xr:uid="{00000000-0005-0000-0000-000076000000}"/>
    <cellStyle name="Comma 2 5 2" xfId="328" xr:uid="{00000000-0005-0000-0000-000077000000}"/>
    <cellStyle name="Comma 2 5 3" xfId="252" xr:uid="{00000000-0005-0000-0000-000078000000}"/>
    <cellStyle name="Comma 2 6" xfId="98" xr:uid="{00000000-0005-0000-0000-000079000000}"/>
    <cellStyle name="Comma 2 6 2" xfId="329" xr:uid="{00000000-0005-0000-0000-00007A000000}"/>
    <cellStyle name="Comma 2 6 3" xfId="253" xr:uid="{00000000-0005-0000-0000-00007B000000}"/>
    <cellStyle name="Comma 2 7" xfId="99" xr:uid="{00000000-0005-0000-0000-00007C000000}"/>
    <cellStyle name="Comma 2 7 2" xfId="330" xr:uid="{00000000-0005-0000-0000-00007D000000}"/>
    <cellStyle name="Comma 2 7 3" xfId="254" xr:uid="{00000000-0005-0000-0000-00007E000000}"/>
    <cellStyle name="Comma 2 8" xfId="100" xr:uid="{00000000-0005-0000-0000-00007F000000}"/>
    <cellStyle name="Comma 2 8 2" xfId="331" xr:uid="{00000000-0005-0000-0000-000080000000}"/>
    <cellStyle name="Comma 2 8 3" xfId="255" xr:uid="{00000000-0005-0000-0000-000081000000}"/>
    <cellStyle name="Comma 2 9" xfId="101" xr:uid="{00000000-0005-0000-0000-000082000000}"/>
    <cellStyle name="Comma 2 9 2" xfId="332" xr:uid="{00000000-0005-0000-0000-000083000000}"/>
    <cellStyle name="Comma 2 9 3" xfId="256" xr:uid="{00000000-0005-0000-0000-000084000000}"/>
    <cellStyle name="Comma 3" xfId="102" xr:uid="{00000000-0005-0000-0000-000085000000}"/>
    <cellStyle name="Comma 3 2" xfId="103" xr:uid="{00000000-0005-0000-0000-000086000000}"/>
    <cellStyle name="Comma 3 2 2" xfId="334" xr:uid="{00000000-0005-0000-0000-000087000000}"/>
    <cellStyle name="Comma 3 2 3" xfId="258" xr:uid="{00000000-0005-0000-0000-000088000000}"/>
    <cellStyle name="Comma 3 3" xfId="333" xr:uid="{00000000-0005-0000-0000-000089000000}"/>
    <cellStyle name="Comma 3 4" xfId="257" xr:uid="{00000000-0005-0000-0000-00008A000000}"/>
    <cellStyle name="Comma 4" xfId="104" xr:uid="{00000000-0005-0000-0000-00008B000000}"/>
    <cellStyle name="Comma 4 2" xfId="105" xr:uid="{00000000-0005-0000-0000-00008C000000}"/>
    <cellStyle name="Comma 4 2 2" xfId="235" xr:uid="{00000000-0005-0000-0000-00008D000000}"/>
    <cellStyle name="Comma 4 2 2 2" xfId="337" xr:uid="{00000000-0005-0000-0000-00008E000000}"/>
    <cellStyle name="Comma 4 2 2 3" xfId="309" xr:uid="{00000000-0005-0000-0000-00008F000000}"/>
    <cellStyle name="Comma 4 2 3" xfId="336" xr:uid="{00000000-0005-0000-0000-000090000000}"/>
    <cellStyle name="Comma 4 2 4" xfId="260" xr:uid="{00000000-0005-0000-0000-000091000000}"/>
    <cellStyle name="Comma 4 3" xfId="335" xr:uid="{00000000-0005-0000-0000-000092000000}"/>
    <cellStyle name="Comma 4 4" xfId="259" xr:uid="{00000000-0005-0000-0000-000093000000}"/>
    <cellStyle name="Comma 5" xfId="106" xr:uid="{00000000-0005-0000-0000-000094000000}"/>
    <cellStyle name="Comma 5 2" xfId="338" xr:uid="{00000000-0005-0000-0000-000095000000}"/>
    <cellStyle name="Comma 5 3" xfId="261" xr:uid="{00000000-0005-0000-0000-000096000000}"/>
    <cellStyle name="Comma 6" xfId="107" xr:uid="{00000000-0005-0000-0000-000097000000}"/>
    <cellStyle name="Comma 6 2" xfId="339" xr:uid="{00000000-0005-0000-0000-000098000000}"/>
    <cellStyle name="Comma 6 3" xfId="262" xr:uid="{00000000-0005-0000-0000-000099000000}"/>
    <cellStyle name="Comma 7" xfId="108" xr:uid="{00000000-0005-0000-0000-00009A000000}"/>
    <cellStyle name="Comma 7 2" xfId="236" xr:uid="{00000000-0005-0000-0000-00009B000000}"/>
    <cellStyle name="Comma 7 2 2" xfId="341" xr:uid="{00000000-0005-0000-0000-00009C000000}"/>
    <cellStyle name="Comma 7 2 3" xfId="310" xr:uid="{00000000-0005-0000-0000-00009D000000}"/>
    <cellStyle name="Comma 7 3" xfId="340" xr:uid="{00000000-0005-0000-0000-00009E000000}"/>
    <cellStyle name="Comma 7 4" xfId="263" xr:uid="{00000000-0005-0000-0000-00009F000000}"/>
    <cellStyle name="Comma 8" xfId="84" xr:uid="{00000000-0005-0000-0000-0000A0000000}"/>
    <cellStyle name="Comma 9" xfId="314" xr:uid="{00000000-0005-0000-0000-0000A1000000}"/>
    <cellStyle name="Explanatory Text 2" xfId="109" xr:uid="{00000000-0005-0000-0000-0000A2000000}"/>
    <cellStyle name="Explanatory Text 3" xfId="110" xr:uid="{00000000-0005-0000-0000-0000A3000000}"/>
    <cellStyle name="Good 2" xfId="111" xr:uid="{00000000-0005-0000-0000-0000A4000000}"/>
    <cellStyle name="Good 3" xfId="112" xr:uid="{00000000-0005-0000-0000-0000A5000000}"/>
    <cellStyle name="Heading 1 2" xfId="113" xr:uid="{00000000-0005-0000-0000-0000A6000000}"/>
    <cellStyle name="Heading 1 3" xfId="114" xr:uid="{00000000-0005-0000-0000-0000A7000000}"/>
    <cellStyle name="Heading 2 2" xfId="115" xr:uid="{00000000-0005-0000-0000-0000A8000000}"/>
    <cellStyle name="Heading 2 3" xfId="116" xr:uid="{00000000-0005-0000-0000-0000A9000000}"/>
    <cellStyle name="Heading 3 2" xfId="117" xr:uid="{00000000-0005-0000-0000-0000AA000000}"/>
    <cellStyle name="Heading 3 3" xfId="118" xr:uid="{00000000-0005-0000-0000-0000AB000000}"/>
    <cellStyle name="Heading 4 2" xfId="119" xr:uid="{00000000-0005-0000-0000-0000AC000000}"/>
    <cellStyle name="Heading 4 3" xfId="120" xr:uid="{00000000-0005-0000-0000-0000AD000000}"/>
    <cellStyle name="Input 2" xfId="121" xr:uid="{00000000-0005-0000-0000-0000AE000000}"/>
    <cellStyle name="Input 3" xfId="122" xr:uid="{00000000-0005-0000-0000-0000AF000000}"/>
    <cellStyle name="Linked Cell 2" xfId="123" xr:uid="{00000000-0005-0000-0000-0000B0000000}"/>
    <cellStyle name="Linked Cell 3" xfId="124" xr:uid="{00000000-0005-0000-0000-0000B1000000}"/>
    <cellStyle name="Neutral 2" xfId="125" xr:uid="{00000000-0005-0000-0000-0000B2000000}"/>
    <cellStyle name="Neutral 3" xfId="126" xr:uid="{00000000-0005-0000-0000-0000B3000000}"/>
    <cellStyle name="Normal" xfId="0" builtinId="0"/>
    <cellStyle name="Normal 10" xfId="127" xr:uid="{00000000-0005-0000-0000-0000B5000000}"/>
    <cellStyle name="Normal 10 2" xfId="128" xr:uid="{00000000-0005-0000-0000-0000B6000000}"/>
    <cellStyle name="Normal 10 3" xfId="129" xr:uid="{00000000-0005-0000-0000-0000B7000000}"/>
    <cellStyle name="Normal 11" xfId="5" xr:uid="{00000000-0005-0000-0000-0000B8000000}"/>
    <cellStyle name="Normal 12" xfId="313" xr:uid="{00000000-0005-0000-0000-0000B9000000}"/>
    <cellStyle name="Normal 13" xfId="390" xr:uid="{00000000-0005-0000-0000-0000BA000000}"/>
    <cellStyle name="Normal 2" xfId="3" xr:uid="{00000000-0005-0000-0000-0000BB000000}"/>
    <cellStyle name="Normal 2 10" xfId="130" xr:uid="{00000000-0005-0000-0000-0000BC000000}"/>
    <cellStyle name="Normal 2 10 2" xfId="344" xr:uid="{00000000-0005-0000-0000-0000BD000000}"/>
    <cellStyle name="Normal 2 10 3" xfId="265" xr:uid="{00000000-0005-0000-0000-0000BE000000}"/>
    <cellStyle name="Normal 2 11" xfId="131" xr:uid="{00000000-0005-0000-0000-0000BF000000}"/>
    <cellStyle name="Normal 2 11 2" xfId="345" xr:uid="{00000000-0005-0000-0000-0000C0000000}"/>
    <cellStyle name="Normal 2 11 3" xfId="266" xr:uid="{00000000-0005-0000-0000-0000C1000000}"/>
    <cellStyle name="Normal 2 12" xfId="132" xr:uid="{00000000-0005-0000-0000-0000C2000000}"/>
    <cellStyle name="Normal 2 12 2" xfId="346" xr:uid="{00000000-0005-0000-0000-0000C3000000}"/>
    <cellStyle name="Normal 2 12 3" xfId="267" xr:uid="{00000000-0005-0000-0000-0000C4000000}"/>
    <cellStyle name="Normal 2 13" xfId="133" xr:uid="{00000000-0005-0000-0000-0000C5000000}"/>
    <cellStyle name="Normal 2 13 2" xfId="347" xr:uid="{00000000-0005-0000-0000-0000C6000000}"/>
    <cellStyle name="Normal 2 13 3" xfId="268" xr:uid="{00000000-0005-0000-0000-0000C7000000}"/>
    <cellStyle name="Normal 2 14" xfId="134" xr:uid="{00000000-0005-0000-0000-0000C8000000}"/>
    <cellStyle name="Normal 2 14 2" xfId="348" xr:uid="{00000000-0005-0000-0000-0000C9000000}"/>
    <cellStyle name="Normal 2 14 3" xfId="269" xr:uid="{00000000-0005-0000-0000-0000CA000000}"/>
    <cellStyle name="Normal 2 15" xfId="135" xr:uid="{00000000-0005-0000-0000-0000CB000000}"/>
    <cellStyle name="Normal 2 15 2" xfId="349" xr:uid="{00000000-0005-0000-0000-0000CC000000}"/>
    <cellStyle name="Normal 2 15 3" xfId="270" xr:uid="{00000000-0005-0000-0000-0000CD000000}"/>
    <cellStyle name="Normal 2 16" xfId="136" xr:uid="{00000000-0005-0000-0000-0000CE000000}"/>
    <cellStyle name="Normal 2 16 2" xfId="350" xr:uid="{00000000-0005-0000-0000-0000CF000000}"/>
    <cellStyle name="Normal 2 16 3" xfId="271" xr:uid="{00000000-0005-0000-0000-0000D0000000}"/>
    <cellStyle name="Normal 2 17" xfId="137" xr:uid="{00000000-0005-0000-0000-0000D1000000}"/>
    <cellStyle name="Normal 2 17 2" xfId="351" xr:uid="{00000000-0005-0000-0000-0000D2000000}"/>
    <cellStyle name="Normal 2 17 3" xfId="272" xr:uid="{00000000-0005-0000-0000-0000D3000000}"/>
    <cellStyle name="Normal 2 18" xfId="138" xr:uid="{00000000-0005-0000-0000-0000D4000000}"/>
    <cellStyle name="Normal 2 18 2" xfId="352" xr:uid="{00000000-0005-0000-0000-0000D5000000}"/>
    <cellStyle name="Normal 2 18 3" xfId="273" xr:uid="{00000000-0005-0000-0000-0000D6000000}"/>
    <cellStyle name="Normal 2 19" xfId="343" xr:uid="{00000000-0005-0000-0000-0000D7000000}"/>
    <cellStyle name="Normal 2 2" xfId="139" xr:uid="{00000000-0005-0000-0000-0000D8000000}"/>
    <cellStyle name="Normal 2 2 2" xfId="353" xr:uid="{00000000-0005-0000-0000-0000D9000000}"/>
    <cellStyle name="Normal 2 2 3" xfId="274" xr:uid="{00000000-0005-0000-0000-0000DA000000}"/>
    <cellStyle name="Normal 2 20" xfId="264" xr:uid="{00000000-0005-0000-0000-0000DB000000}"/>
    <cellStyle name="Normal 2 3" xfId="140" xr:uid="{00000000-0005-0000-0000-0000DC000000}"/>
    <cellStyle name="Normal 2 3 2" xfId="354" xr:uid="{00000000-0005-0000-0000-0000DD000000}"/>
    <cellStyle name="Normal 2 3 3" xfId="275" xr:uid="{00000000-0005-0000-0000-0000DE000000}"/>
    <cellStyle name="Normal 2 4" xfId="141" xr:uid="{00000000-0005-0000-0000-0000DF000000}"/>
    <cellStyle name="Normal 2 4 2" xfId="355" xr:uid="{00000000-0005-0000-0000-0000E0000000}"/>
    <cellStyle name="Normal 2 4 3" xfId="276" xr:uid="{00000000-0005-0000-0000-0000E1000000}"/>
    <cellStyle name="Normal 2 5" xfId="142" xr:uid="{00000000-0005-0000-0000-0000E2000000}"/>
    <cellStyle name="Normal 2 5 2" xfId="356" xr:uid="{00000000-0005-0000-0000-0000E3000000}"/>
    <cellStyle name="Normal 2 5 3" xfId="277" xr:uid="{00000000-0005-0000-0000-0000E4000000}"/>
    <cellStyle name="Normal 2 6" xfId="143" xr:uid="{00000000-0005-0000-0000-0000E5000000}"/>
    <cellStyle name="Normal 2 6 2" xfId="357" xr:uid="{00000000-0005-0000-0000-0000E6000000}"/>
    <cellStyle name="Normal 2 6 3" xfId="278" xr:uid="{00000000-0005-0000-0000-0000E7000000}"/>
    <cellStyle name="Normal 2 7" xfId="144" xr:uid="{00000000-0005-0000-0000-0000E8000000}"/>
    <cellStyle name="Normal 2 7 2" xfId="358" xr:uid="{00000000-0005-0000-0000-0000E9000000}"/>
    <cellStyle name="Normal 2 7 3" xfId="279" xr:uid="{00000000-0005-0000-0000-0000EA000000}"/>
    <cellStyle name="Normal 2 8" xfId="145" xr:uid="{00000000-0005-0000-0000-0000EB000000}"/>
    <cellStyle name="Normal 2 8 2" xfId="359" xr:uid="{00000000-0005-0000-0000-0000EC000000}"/>
    <cellStyle name="Normal 2 8 3" xfId="280" xr:uid="{00000000-0005-0000-0000-0000ED000000}"/>
    <cellStyle name="Normal 2 9" xfId="146" xr:uid="{00000000-0005-0000-0000-0000EE000000}"/>
    <cellStyle name="Normal 2 9 2" xfId="360" xr:uid="{00000000-0005-0000-0000-0000EF000000}"/>
    <cellStyle name="Normal 2 9 3" xfId="281" xr:uid="{00000000-0005-0000-0000-0000F0000000}"/>
    <cellStyle name="Normal 3" xfId="147" xr:uid="{00000000-0005-0000-0000-0000F1000000}"/>
    <cellStyle name="Normal 3 2" xfId="148" xr:uid="{00000000-0005-0000-0000-0000F2000000}"/>
    <cellStyle name="Normal 3 2 2" xfId="362" xr:uid="{00000000-0005-0000-0000-0000F3000000}"/>
    <cellStyle name="Normal 3 2 3" xfId="283" xr:uid="{00000000-0005-0000-0000-0000F4000000}"/>
    <cellStyle name="Normal 3 3" xfId="149" xr:uid="{00000000-0005-0000-0000-0000F5000000}"/>
    <cellStyle name="Normal 3 3 2" xfId="363" xr:uid="{00000000-0005-0000-0000-0000F6000000}"/>
    <cellStyle name="Normal 3 3 3" xfId="284" xr:uid="{00000000-0005-0000-0000-0000F7000000}"/>
    <cellStyle name="Normal 3 4" xfId="150" xr:uid="{00000000-0005-0000-0000-0000F8000000}"/>
    <cellStyle name="Normal 3 4 2" xfId="237" xr:uid="{00000000-0005-0000-0000-0000F9000000}"/>
    <cellStyle name="Normal 3 4 2 2" xfId="365" xr:uid="{00000000-0005-0000-0000-0000FA000000}"/>
    <cellStyle name="Normal 3 4 2 3" xfId="311" xr:uid="{00000000-0005-0000-0000-0000FB000000}"/>
    <cellStyle name="Normal 3 4 3" xfId="364" xr:uid="{00000000-0005-0000-0000-0000FC000000}"/>
    <cellStyle name="Normal 3 4 4" xfId="285" xr:uid="{00000000-0005-0000-0000-0000FD000000}"/>
    <cellStyle name="Normal 3 5" xfId="361" xr:uid="{00000000-0005-0000-0000-0000FE000000}"/>
    <cellStyle name="Normal 3 6" xfId="282" xr:uid="{00000000-0005-0000-0000-0000FF000000}"/>
    <cellStyle name="Normal 4" xfId="151" xr:uid="{00000000-0005-0000-0000-000000010000}"/>
    <cellStyle name="Normal 4 2" xfId="152" xr:uid="{00000000-0005-0000-0000-000001010000}"/>
    <cellStyle name="Normal 4 3" xfId="153" xr:uid="{00000000-0005-0000-0000-000002010000}"/>
    <cellStyle name="Normal 5" xfId="154" xr:uid="{00000000-0005-0000-0000-000003010000}"/>
    <cellStyle name="Normal 5 2" xfId="155" xr:uid="{00000000-0005-0000-0000-000004010000}"/>
    <cellStyle name="Normal 5 3" xfId="156" xr:uid="{00000000-0005-0000-0000-000005010000}"/>
    <cellStyle name="Normal 6" xfId="157" xr:uid="{00000000-0005-0000-0000-000006010000}"/>
    <cellStyle name="Normal 7" xfId="158" xr:uid="{00000000-0005-0000-0000-000007010000}"/>
    <cellStyle name="Normal 7 2" xfId="159" xr:uid="{00000000-0005-0000-0000-000008010000}"/>
    <cellStyle name="Normal 7 3" xfId="160" xr:uid="{00000000-0005-0000-0000-000009010000}"/>
    <cellStyle name="Normal 8" xfId="161" xr:uid="{00000000-0005-0000-0000-00000A010000}"/>
    <cellStyle name="Normal 8 2" xfId="162" xr:uid="{00000000-0005-0000-0000-00000B010000}"/>
    <cellStyle name="Normal 8 3" xfId="163" xr:uid="{00000000-0005-0000-0000-00000C010000}"/>
    <cellStyle name="Normal 9" xfId="164" xr:uid="{00000000-0005-0000-0000-00000D010000}"/>
    <cellStyle name="Normal 9 2" xfId="165" xr:uid="{00000000-0005-0000-0000-00000E010000}"/>
    <cellStyle name="Normal 9 3" xfId="166" xr:uid="{00000000-0005-0000-0000-00000F010000}"/>
    <cellStyle name="Normal_01_IANVARI" xfId="2" xr:uid="{00000000-0005-0000-0000-000010010000}"/>
    <cellStyle name="Note 2" xfId="167" xr:uid="{00000000-0005-0000-0000-000011010000}"/>
    <cellStyle name="Note 2 10" xfId="168" xr:uid="{00000000-0005-0000-0000-000012010000}"/>
    <cellStyle name="Note 2 11" xfId="169" xr:uid="{00000000-0005-0000-0000-000013010000}"/>
    <cellStyle name="Note 2 12" xfId="170" xr:uid="{00000000-0005-0000-0000-000014010000}"/>
    <cellStyle name="Note 2 13" xfId="171" xr:uid="{00000000-0005-0000-0000-000015010000}"/>
    <cellStyle name="Note 2 14" xfId="172" xr:uid="{00000000-0005-0000-0000-000016010000}"/>
    <cellStyle name="Note 2 15" xfId="173" xr:uid="{00000000-0005-0000-0000-000017010000}"/>
    <cellStyle name="Note 2 16" xfId="174" xr:uid="{00000000-0005-0000-0000-000018010000}"/>
    <cellStyle name="Note 2 17" xfId="175" xr:uid="{00000000-0005-0000-0000-000019010000}"/>
    <cellStyle name="Note 2 18" xfId="176" xr:uid="{00000000-0005-0000-0000-00001A010000}"/>
    <cellStyle name="Note 2 19" xfId="177" xr:uid="{00000000-0005-0000-0000-00001B010000}"/>
    <cellStyle name="Note 2 2" xfId="178" xr:uid="{00000000-0005-0000-0000-00001C010000}"/>
    <cellStyle name="Note 2 2 10" xfId="179" xr:uid="{00000000-0005-0000-0000-00001D010000}"/>
    <cellStyle name="Note 2 2 10 2" xfId="367" xr:uid="{00000000-0005-0000-0000-00001E010000}"/>
    <cellStyle name="Note 2 2 10 3" xfId="287" xr:uid="{00000000-0005-0000-0000-00001F010000}"/>
    <cellStyle name="Note 2 2 11" xfId="180" xr:uid="{00000000-0005-0000-0000-000020010000}"/>
    <cellStyle name="Note 2 2 11 2" xfId="368" xr:uid="{00000000-0005-0000-0000-000021010000}"/>
    <cellStyle name="Note 2 2 11 3" xfId="288" xr:uid="{00000000-0005-0000-0000-000022010000}"/>
    <cellStyle name="Note 2 2 12" xfId="181" xr:uid="{00000000-0005-0000-0000-000023010000}"/>
    <cellStyle name="Note 2 2 12 2" xfId="369" xr:uid="{00000000-0005-0000-0000-000024010000}"/>
    <cellStyle name="Note 2 2 12 3" xfId="289" xr:uid="{00000000-0005-0000-0000-000025010000}"/>
    <cellStyle name="Note 2 2 13" xfId="182" xr:uid="{00000000-0005-0000-0000-000026010000}"/>
    <cellStyle name="Note 2 2 13 2" xfId="370" xr:uid="{00000000-0005-0000-0000-000027010000}"/>
    <cellStyle name="Note 2 2 13 3" xfId="290" xr:uid="{00000000-0005-0000-0000-000028010000}"/>
    <cellStyle name="Note 2 2 14" xfId="183" xr:uid="{00000000-0005-0000-0000-000029010000}"/>
    <cellStyle name="Note 2 2 14 2" xfId="371" xr:uid="{00000000-0005-0000-0000-00002A010000}"/>
    <cellStyle name="Note 2 2 14 3" xfId="291" xr:uid="{00000000-0005-0000-0000-00002B010000}"/>
    <cellStyle name="Note 2 2 15" xfId="184" xr:uid="{00000000-0005-0000-0000-00002C010000}"/>
    <cellStyle name="Note 2 2 15 2" xfId="372" xr:uid="{00000000-0005-0000-0000-00002D010000}"/>
    <cellStyle name="Note 2 2 15 3" xfId="292" xr:uid="{00000000-0005-0000-0000-00002E010000}"/>
    <cellStyle name="Note 2 2 16" xfId="185" xr:uid="{00000000-0005-0000-0000-00002F010000}"/>
    <cellStyle name="Note 2 2 16 2" xfId="373" xr:uid="{00000000-0005-0000-0000-000030010000}"/>
    <cellStyle name="Note 2 2 16 3" xfId="293" xr:uid="{00000000-0005-0000-0000-000031010000}"/>
    <cellStyle name="Note 2 2 17" xfId="186" xr:uid="{00000000-0005-0000-0000-000032010000}"/>
    <cellStyle name="Note 2 2 17 2" xfId="374" xr:uid="{00000000-0005-0000-0000-000033010000}"/>
    <cellStyle name="Note 2 2 17 3" xfId="294" xr:uid="{00000000-0005-0000-0000-000034010000}"/>
    <cellStyle name="Note 2 2 18" xfId="187" xr:uid="{00000000-0005-0000-0000-000035010000}"/>
    <cellStyle name="Note 2 2 18 2" xfId="375" xr:uid="{00000000-0005-0000-0000-000036010000}"/>
    <cellStyle name="Note 2 2 18 3" xfId="295" xr:uid="{00000000-0005-0000-0000-000037010000}"/>
    <cellStyle name="Note 2 2 19" xfId="188" xr:uid="{00000000-0005-0000-0000-000038010000}"/>
    <cellStyle name="Note 2 2 19 2" xfId="376" xr:uid="{00000000-0005-0000-0000-000039010000}"/>
    <cellStyle name="Note 2 2 19 3" xfId="296" xr:uid="{00000000-0005-0000-0000-00003A010000}"/>
    <cellStyle name="Note 2 2 2" xfId="189" xr:uid="{00000000-0005-0000-0000-00003B010000}"/>
    <cellStyle name="Note 2 2 2 10" xfId="190" xr:uid="{00000000-0005-0000-0000-00003C010000}"/>
    <cellStyle name="Note 2 2 2 11" xfId="191" xr:uid="{00000000-0005-0000-0000-00003D010000}"/>
    <cellStyle name="Note 2 2 2 12" xfId="192" xr:uid="{00000000-0005-0000-0000-00003E010000}"/>
    <cellStyle name="Note 2 2 2 13" xfId="193" xr:uid="{00000000-0005-0000-0000-00003F010000}"/>
    <cellStyle name="Note 2 2 2 14" xfId="194" xr:uid="{00000000-0005-0000-0000-000040010000}"/>
    <cellStyle name="Note 2 2 2 15" xfId="195" xr:uid="{00000000-0005-0000-0000-000041010000}"/>
    <cellStyle name="Note 2 2 2 16" xfId="196" xr:uid="{00000000-0005-0000-0000-000042010000}"/>
    <cellStyle name="Note 2 2 2 17" xfId="197" xr:uid="{00000000-0005-0000-0000-000043010000}"/>
    <cellStyle name="Note 2 2 2 18" xfId="198" xr:uid="{00000000-0005-0000-0000-000044010000}"/>
    <cellStyle name="Note 2 2 2 19" xfId="199" xr:uid="{00000000-0005-0000-0000-000045010000}"/>
    <cellStyle name="Note 2 2 2 19 2" xfId="377" xr:uid="{00000000-0005-0000-0000-000046010000}"/>
    <cellStyle name="Note 2 2 2 19 3" xfId="297" xr:uid="{00000000-0005-0000-0000-000047010000}"/>
    <cellStyle name="Note 2 2 2 2" xfId="200" xr:uid="{00000000-0005-0000-0000-000048010000}"/>
    <cellStyle name="Note 2 2 2 3" xfId="201" xr:uid="{00000000-0005-0000-0000-000049010000}"/>
    <cellStyle name="Note 2 2 2 4" xfId="202" xr:uid="{00000000-0005-0000-0000-00004A010000}"/>
    <cellStyle name="Note 2 2 2 5" xfId="203" xr:uid="{00000000-0005-0000-0000-00004B010000}"/>
    <cellStyle name="Note 2 2 2 6" xfId="204" xr:uid="{00000000-0005-0000-0000-00004C010000}"/>
    <cellStyle name="Note 2 2 2 7" xfId="205" xr:uid="{00000000-0005-0000-0000-00004D010000}"/>
    <cellStyle name="Note 2 2 2 8" xfId="206" xr:uid="{00000000-0005-0000-0000-00004E010000}"/>
    <cellStyle name="Note 2 2 2 9" xfId="207" xr:uid="{00000000-0005-0000-0000-00004F010000}"/>
    <cellStyle name="Note 2 2 20" xfId="366" xr:uid="{00000000-0005-0000-0000-000050010000}"/>
    <cellStyle name="Note 2 2 21" xfId="286" xr:uid="{00000000-0005-0000-0000-000051010000}"/>
    <cellStyle name="Note 2 2 3" xfId="208" xr:uid="{00000000-0005-0000-0000-000052010000}"/>
    <cellStyle name="Note 2 2 4" xfId="209" xr:uid="{00000000-0005-0000-0000-000053010000}"/>
    <cellStyle name="Note 2 2 4 2" xfId="378" xr:uid="{00000000-0005-0000-0000-000054010000}"/>
    <cellStyle name="Note 2 2 4 3" xfId="298" xr:uid="{00000000-0005-0000-0000-000055010000}"/>
    <cellStyle name="Note 2 2 5" xfId="210" xr:uid="{00000000-0005-0000-0000-000056010000}"/>
    <cellStyle name="Note 2 2 5 2" xfId="379" xr:uid="{00000000-0005-0000-0000-000057010000}"/>
    <cellStyle name="Note 2 2 5 3" xfId="299" xr:uid="{00000000-0005-0000-0000-000058010000}"/>
    <cellStyle name="Note 2 2 6" xfId="211" xr:uid="{00000000-0005-0000-0000-000059010000}"/>
    <cellStyle name="Note 2 2 6 2" xfId="380" xr:uid="{00000000-0005-0000-0000-00005A010000}"/>
    <cellStyle name="Note 2 2 6 3" xfId="300" xr:uid="{00000000-0005-0000-0000-00005B010000}"/>
    <cellStyle name="Note 2 2 7" xfId="212" xr:uid="{00000000-0005-0000-0000-00005C010000}"/>
    <cellStyle name="Note 2 2 7 2" xfId="381" xr:uid="{00000000-0005-0000-0000-00005D010000}"/>
    <cellStyle name="Note 2 2 7 3" xfId="301" xr:uid="{00000000-0005-0000-0000-00005E010000}"/>
    <cellStyle name="Note 2 2 8" xfId="213" xr:uid="{00000000-0005-0000-0000-00005F010000}"/>
    <cellStyle name="Note 2 2 8 2" xfId="382" xr:uid="{00000000-0005-0000-0000-000060010000}"/>
    <cellStyle name="Note 2 2 8 3" xfId="302" xr:uid="{00000000-0005-0000-0000-000061010000}"/>
    <cellStyle name="Note 2 2 9" xfId="214" xr:uid="{00000000-0005-0000-0000-000062010000}"/>
    <cellStyle name="Note 2 2 9 2" xfId="383" xr:uid="{00000000-0005-0000-0000-000063010000}"/>
    <cellStyle name="Note 2 2 9 3" xfId="303" xr:uid="{00000000-0005-0000-0000-000064010000}"/>
    <cellStyle name="Note 2 20" xfId="215" xr:uid="{00000000-0005-0000-0000-000065010000}"/>
    <cellStyle name="Note 2 3" xfId="216" xr:uid="{00000000-0005-0000-0000-000066010000}"/>
    <cellStyle name="Note 2 3 2" xfId="384" xr:uid="{00000000-0005-0000-0000-000067010000}"/>
    <cellStyle name="Note 2 3 3" xfId="304" xr:uid="{00000000-0005-0000-0000-000068010000}"/>
    <cellStyle name="Note 2 4" xfId="217" xr:uid="{00000000-0005-0000-0000-000069010000}"/>
    <cellStyle name="Note 2 5" xfId="218" xr:uid="{00000000-0005-0000-0000-00006A010000}"/>
    <cellStyle name="Note 2 6" xfId="219" xr:uid="{00000000-0005-0000-0000-00006B010000}"/>
    <cellStyle name="Note 2 7" xfId="220" xr:uid="{00000000-0005-0000-0000-00006C010000}"/>
    <cellStyle name="Note 2 8" xfId="221" xr:uid="{00000000-0005-0000-0000-00006D010000}"/>
    <cellStyle name="Note 2 9" xfId="222" xr:uid="{00000000-0005-0000-0000-00006E010000}"/>
    <cellStyle name="Note 3" xfId="223" xr:uid="{00000000-0005-0000-0000-00006F010000}"/>
    <cellStyle name="Note 3 2" xfId="224" xr:uid="{00000000-0005-0000-0000-000070010000}"/>
    <cellStyle name="Note 3 2 2" xfId="386" xr:uid="{00000000-0005-0000-0000-000071010000}"/>
    <cellStyle name="Note 3 2 3" xfId="306" xr:uid="{00000000-0005-0000-0000-000072010000}"/>
    <cellStyle name="Note 3 3" xfId="225" xr:uid="{00000000-0005-0000-0000-000073010000}"/>
    <cellStyle name="Note 3 3 2" xfId="238" xr:uid="{00000000-0005-0000-0000-000074010000}"/>
    <cellStyle name="Note 3 3 2 2" xfId="388" xr:uid="{00000000-0005-0000-0000-000075010000}"/>
    <cellStyle name="Note 3 3 2 3" xfId="312" xr:uid="{00000000-0005-0000-0000-000076010000}"/>
    <cellStyle name="Note 3 3 3" xfId="387" xr:uid="{00000000-0005-0000-0000-000077010000}"/>
    <cellStyle name="Note 3 3 4" xfId="307" xr:uid="{00000000-0005-0000-0000-000078010000}"/>
    <cellStyle name="Note 3 4" xfId="385" xr:uid="{00000000-0005-0000-0000-000079010000}"/>
    <cellStyle name="Note 3 5" xfId="305" xr:uid="{00000000-0005-0000-0000-00007A010000}"/>
    <cellStyle name="Note 4" xfId="226" xr:uid="{00000000-0005-0000-0000-00007B010000}"/>
    <cellStyle name="Note 4 2" xfId="389" xr:uid="{00000000-0005-0000-0000-00007C010000}"/>
    <cellStyle name="Note 4 3" xfId="308" xr:uid="{00000000-0005-0000-0000-00007D010000}"/>
    <cellStyle name="Output 2" xfId="227" xr:uid="{00000000-0005-0000-0000-00007E010000}"/>
    <cellStyle name="Output 3" xfId="228" xr:uid="{00000000-0005-0000-0000-00007F010000}"/>
    <cellStyle name="RowLevel_1" xfId="1" builtinId="1" iLevel="0"/>
    <cellStyle name="Title 2" xfId="229" xr:uid="{00000000-0005-0000-0000-000081010000}"/>
    <cellStyle name="Title 3" xfId="230" xr:uid="{00000000-0005-0000-0000-000082010000}"/>
    <cellStyle name="Total 2" xfId="231" xr:uid="{00000000-0005-0000-0000-000083010000}"/>
    <cellStyle name="Total 3" xfId="232" xr:uid="{00000000-0005-0000-0000-000084010000}"/>
    <cellStyle name="Warning Text 2" xfId="233" xr:uid="{00000000-0005-0000-0000-000085010000}"/>
    <cellStyle name="Warning Text 3" xfId="234" xr:uid="{00000000-0005-0000-0000-00008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74827-D967-4926-9FE3-7DF6024832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11427-D79F-4204-8FDC-FFB8B09AF0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6FB62-8BD1-479B-A50F-FCF825A479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37B47-30CD-439A-8093-96087458A7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2F37C-F1DD-4AAF-B55E-DCC91918AB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CC05D-DBC8-4F5D-ABF6-A57EB69816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616BC-D233-455B-BF7F-CDA3F384EA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BA649-FB86-4E62-A732-A8DBFC7639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A4F18-5491-4FF1-9706-540340E92E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1F78C-4FEA-402D-A828-3D2BF5F309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1096C-5829-4749-A7F6-5F24755458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1AFEF-053D-4FBB-8A97-151EA4B81C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DCC734-775A-4B77-852E-A8BC2EEFEB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DD2C0-673F-4834-9FE1-2DFBD3BD72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F0C15-25C9-406D-B6A8-CD2493FD02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4F82CB-7B00-418A-9CF5-7BFC77366C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B01E0-DFD4-485B-A7BA-BC4DB6B6A4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57150</xdr:rowOff>
    </xdr:from>
    <xdr:to>
      <xdr:col>0</xdr:col>
      <xdr:colOff>2019300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F45267-B4D4-4FF1-8885-474E1A4821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100"/>
  <sheetViews>
    <sheetView view="pageBreakPreview" topLeftCell="A58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1503.35</v>
      </c>
      <c r="E33" s="13">
        <v>2332.69</v>
      </c>
      <c r="F33" s="13">
        <v>2016.67</v>
      </c>
      <c r="G33" s="13">
        <v>6500.62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3606.13</v>
      </c>
      <c r="G34" s="11">
        <v>18913.63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1793.44</v>
      </c>
      <c r="D37" s="13">
        <v>7520.03</v>
      </c>
      <c r="E37" s="13">
        <v>4183.28</v>
      </c>
      <c r="F37" s="13">
        <v>3229.62</v>
      </c>
      <c r="G37" s="13">
        <v>17124.12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6298.96</v>
      </c>
      <c r="D40" s="15">
        <v>16073.32</v>
      </c>
      <c r="E40" s="15">
        <v>14051.96</v>
      </c>
      <c r="F40" s="15">
        <v>9851.9599999999991</v>
      </c>
      <c r="G40" s="15">
        <v>46862.79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2100</v>
      </c>
      <c r="E69" s="13">
        <v>600</v>
      </c>
      <c r="F69" s="13">
        <v>360</v>
      </c>
      <c r="G69" s="13">
        <v>3480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2100</v>
      </c>
      <c r="E71" s="15">
        <v>600</v>
      </c>
      <c r="F71" s="15">
        <v>360</v>
      </c>
      <c r="G71" s="15">
        <v>3480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103.11</v>
      </c>
      <c r="E77" s="13">
        <v>75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104.81</v>
      </c>
      <c r="E83" s="17">
        <v>75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7515.2899999999991</v>
      </c>
      <c r="D85" s="23">
        <v>22448.399999999998</v>
      </c>
      <c r="E85" s="23">
        <v>20623.409999999996</v>
      </c>
      <c r="F85" s="23">
        <v>12424.130000000005</v>
      </c>
      <c r="G85" s="23">
        <v>63597.82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6E58-C243-481B-939D-2E06ADC9D007}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1503.35</v>
      </c>
      <c r="E33" s="13">
        <v>2332.69</v>
      </c>
      <c r="F33" s="13">
        <v>2016.67</v>
      </c>
      <c r="G33" s="13">
        <v>6500.62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5292.17</v>
      </c>
      <c r="F34" s="11">
        <v>3624.97</v>
      </c>
      <c r="G34" s="11">
        <v>18720.73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1716.68</v>
      </c>
      <c r="D37" s="13">
        <v>7596.79</v>
      </c>
      <c r="E37" s="13">
        <v>4183.28</v>
      </c>
      <c r="F37" s="13">
        <v>2987.2</v>
      </c>
      <c r="G37" s="13">
        <v>16881.7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6222.2</v>
      </c>
      <c r="D40" s="15">
        <v>16150.08</v>
      </c>
      <c r="E40" s="15">
        <v>13840.22</v>
      </c>
      <c r="F40" s="15">
        <v>9628.3799999999992</v>
      </c>
      <c r="G40" s="15">
        <v>46427.47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2100</v>
      </c>
      <c r="E69" s="13">
        <v>600</v>
      </c>
      <c r="F69" s="13">
        <v>360</v>
      </c>
      <c r="G69" s="13">
        <v>3480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2100</v>
      </c>
      <c r="E71" s="15">
        <v>600</v>
      </c>
      <c r="F71" s="15">
        <v>360</v>
      </c>
      <c r="G71" s="15">
        <v>3480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103.11</v>
      </c>
      <c r="E77" s="13">
        <v>75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104.81</v>
      </c>
      <c r="E83" s="17">
        <v>75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7438.53</v>
      </c>
      <c r="D85" s="23">
        <v>22525.159999999996</v>
      </c>
      <c r="E85" s="23">
        <v>20411.669999999995</v>
      </c>
      <c r="F85" s="23">
        <v>12200.550000000003</v>
      </c>
      <c r="G85" s="23">
        <v>63162.5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3F97-83D5-4DB0-8340-15DCE15D9FEE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283.25</v>
      </c>
      <c r="F31" s="13">
        <v>124.65</v>
      </c>
      <c r="G31" s="13">
        <v>791.65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1607.89</v>
      </c>
      <c r="E33" s="13">
        <v>2332.69</v>
      </c>
      <c r="F33" s="13">
        <v>2016.67</v>
      </c>
      <c r="G33" s="13">
        <v>6500.62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6292.87</v>
      </c>
      <c r="E34" s="11">
        <v>5306.07</v>
      </c>
      <c r="F34" s="11">
        <v>3624.97</v>
      </c>
      <c r="G34" s="11">
        <v>18720.73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1716.68</v>
      </c>
      <c r="D37" s="13">
        <v>7374.6</v>
      </c>
      <c r="E37" s="13">
        <v>4321.8</v>
      </c>
      <c r="F37" s="13">
        <v>2987.2</v>
      </c>
      <c r="G37" s="13">
        <v>16798.03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6117.66</v>
      </c>
      <c r="D40" s="15">
        <v>16018.53</v>
      </c>
      <c r="E40" s="15">
        <v>13938.4</v>
      </c>
      <c r="F40" s="15">
        <v>9628.3799999999992</v>
      </c>
      <c r="G40" s="15">
        <v>46289.56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2040</v>
      </c>
      <c r="E69" s="13">
        <v>600</v>
      </c>
      <c r="F69" s="13">
        <v>360</v>
      </c>
      <c r="G69" s="13">
        <v>3420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2040</v>
      </c>
      <c r="E71" s="15">
        <v>600</v>
      </c>
      <c r="F71" s="15">
        <v>360</v>
      </c>
      <c r="G71" s="15">
        <v>3420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103.11</v>
      </c>
      <c r="E77" s="13">
        <v>75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104.81</v>
      </c>
      <c r="E83" s="17">
        <v>75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7333.99</v>
      </c>
      <c r="D85" s="23">
        <v>22333.609999999997</v>
      </c>
      <c r="E85" s="23">
        <v>20509.849999999995</v>
      </c>
      <c r="F85" s="23">
        <v>12200.550000000003</v>
      </c>
      <c r="G85" s="23">
        <v>62964.59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8CDB-5B16-4EC9-9C85-146F240C8AA1}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283.25</v>
      </c>
      <c r="F31" s="13">
        <v>124.65</v>
      </c>
      <c r="G31" s="13">
        <v>791.65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1496.75</v>
      </c>
      <c r="E33" s="13">
        <v>2337.5300000000002</v>
      </c>
      <c r="F33" s="13">
        <v>2122.9699999999998</v>
      </c>
      <c r="G33" s="13">
        <v>6500.62</v>
      </c>
    </row>
    <row r="34" spans="1:23" ht="13.5" outlineLevel="1">
      <c r="A34" s="10" t="s">
        <v>31</v>
      </c>
      <c r="B34" s="11">
        <v>188.84</v>
      </c>
      <c r="C34" s="11">
        <v>3115.08</v>
      </c>
      <c r="D34" s="11">
        <v>6228.57</v>
      </c>
      <c r="E34" s="11">
        <v>5524.87</v>
      </c>
      <c r="F34" s="11">
        <v>3432.07</v>
      </c>
      <c r="G34" s="11">
        <v>18489.43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1716.68</v>
      </c>
      <c r="D37" s="13">
        <v>7080.5</v>
      </c>
      <c r="E37" s="13">
        <v>4513.4799999999996</v>
      </c>
      <c r="F37" s="13">
        <v>3089.62</v>
      </c>
      <c r="G37" s="13">
        <v>16798.03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5924.76</v>
      </c>
      <c r="D40" s="15">
        <v>15548.99</v>
      </c>
      <c r="E40" s="15">
        <v>14160.82</v>
      </c>
      <c r="F40" s="15">
        <v>9644.2000000000007</v>
      </c>
      <c r="G40" s="15">
        <v>45865.36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600</v>
      </c>
      <c r="F69" s="13">
        <v>360</v>
      </c>
      <c r="G69" s="13">
        <v>3360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600</v>
      </c>
      <c r="F71" s="15">
        <v>360</v>
      </c>
      <c r="G71" s="15">
        <v>3360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143.65</v>
      </c>
      <c r="G77" s="13">
        <v>268.64999999999998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143.65</v>
      </c>
      <c r="G83" s="17">
        <v>270.35000000000002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7141.09</v>
      </c>
      <c r="D85" s="23">
        <v>21750.959999999995</v>
      </c>
      <c r="E85" s="23">
        <v>20526.269999999997</v>
      </c>
      <c r="F85" s="23">
        <v>12422.370000000004</v>
      </c>
      <c r="G85" s="23">
        <v>62427.28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EB21-4FAC-47EB-9576-BF6F455EFBE5}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2516.5</v>
      </c>
      <c r="E9" s="15">
        <v>4235.3500000000004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154.5</v>
      </c>
      <c r="F31" s="13">
        <v>253.4</v>
      </c>
      <c r="G31" s="13">
        <v>791.65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1496.75</v>
      </c>
      <c r="E33" s="13">
        <v>2337.5300000000002</v>
      </c>
      <c r="F33" s="13">
        <v>2122.9699999999998</v>
      </c>
      <c r="G33" s="13">
        <v>6500.62</v>
      </c>
    </row>
    <row r="34" spans="1:23" ht="13.5" outlineLevel="1">
      <c r="A34" s="10" t="s">
        <v>31</v>
      </c>
      <c r="B34" s="11">
        <v>188.84</v>
      </c>
      <c r="C34" s="11">
        <v>2857.88</v>
      </c>
      <c r="D34" s="11">
        <v>6463.95</v>
      </c>
      <c r="E34" s="11">
        <v>5394.53</v>
      </c>
      <c r="F34" s="11">
        <v>3516.44</v>
      </c>
      <c r="G34" s="11">
        <v>18421.64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7032.31</v>
      </c>
      <c r="E37" s="13">
        <v>4453.4799999999996</v>
      </c>
      <c r="F37" s="13">
        <v>3089.62</v>
      </c>
      <c r="G37" s="13">
        <v>16606.169999999998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5583.89</v>
      </c>
      <c r="D40" s="15">
        <v>15736.18</v>
      </c>
      <c r="E40" s="15">
        <v>13841.73</v>
      </c>
      <c r="F40" s="15">
        <v>9857.3200000000106</v>
      </c>
      <c r="G40" s="15">
        <v>45605.71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257.2</v>
      </c>
      <c r="F56" s="15">
        <v>155.6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480</v>
      </c>
      <c r="F69" s="13">
        <v>360</v>
      </c>
      <c r="G69" s="13">
        <v>3240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480</v>
      </c>
      <c r="F71" s="15">
        <v>360</v>
      </c>
      <c r="G71" s="15">
        <v>3240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143.65</v>
      </c>
      <c r="G77" s="13">
        <v>268.64999999999998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143.65</v>
      </c>
      <c r="G83" s="17">
        <v>270.35000000000002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6800.2199999999993</v>
      </c>
      <c r="D85" s="23">
        <v>21753.449999999997</v>
      </c>
      <c r="E85" s="23">
        <v>20116.279999999995</v>
      </c>
      <c r="F85" s="23">
        <v>12791.090000000007</v>
      </c>
      <c r="G85" s="23">
        <v>62047.63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7CB9-5854-4B6B-BE81-240F605594C2}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2516.5</v>
      </c>
      <c r="E9" s="15">
        <v>4235.3500000000004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154.5</v>
      </c>
      <c r="F31" s="13">
        <v>253.4</v>
      </c>
      <c r="G31" s="13">
        <v>791.65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1336.75</v>
      </c>
      <c r="E33" s="13">
        <v>2497.5300000000002</v>
      </c>
      <c r="F33" s="13">
        <v>2122.9699999999998</v>
      </c>
      <c r="G33" s="13">
        <v>6500.62</v>
      </c>
    </row>
    <row r="34" spans="1:23" ht="13.5" outlineLevel="1">
      <c r="A34" s="10" t="s">
        <v>31</v>
      </c>
      <c r="B34" s="11">
        <v>188.84</v>
      </c>
      <c r="C34" s="11">
        <v>2857.88</v>
      </c>
      <c r="D34" s="11">
        <v>6356.79</v>
      </c>
      <c r="E34" s="11">
        <v>5501.69</v>
      </c>
      <c r="F34" s="11">
        <v>3516.44</v>
      </c>
      <c r="G34" s="11">
        <v>18421.64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7032.31</v>
      </c>
      <c r="E37" s="13">
        <v>4328.07</v>
      </c>
      <c r="F37" s="13">
        <v>3089.62</v>
      </c>
      <c r="G37" s="13">
        <v>16480.759999999998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5583.89</v>
      </c>
      <c r="D40" s="15">
        <v>15469.02</v>
      </c>
      <c r="E40" s="15">
        <v>13983.48</v>
      </c>
      <c r="F40" s="15">
        <v>9857.32</v>
      </c>
      <c r="G40" s="15">
        <v>45480.300000000097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257.2</v>
      </c>
      <c r="F56" s="15">
        <v>155.6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480</v>
      </c>
      <c r="F69" s="13">
        <v>300</v>
      </c>
      <c r="G69" s="13">
        <v>3180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480</v>
      </c>
      <c r="F71" s="15">
        <v>300</v>
      </c>
      <c r="G71" s="15">
        <v>3180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6800.2199999999993</v>
      </c>
      <c r="D85" s="23">
        <v>21486.289999999997</v>
      </c>
      <c r="E85" s="23">
        <v>20000.829999999998</v>
      </c>
      <c r="F85" s="23">
        <v>12844.640000000001</v>
      </c>
      <c r="G85" s="23">
        <v>61718.570000000051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B981-81B8-4B29-8393-22B4E3DCF327}">
  <sheetPr>
    <outlinePr applyStyles="1"/>
  </sheetPr>
  <dimension ref="A1:W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2516.5</v>
      </c>
      <c r="E9" s="15">
        <v>4235.3500000000004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154.5</v>
      </c>
      <c r="F31" s="13">
        <v>253.4</v>
      </c>
      <c r="G31" s="13">
        <v>791.65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1336.75</v>
      </c>
      <c r="E33" s="13">
        <v>2472.5300000000002</v>
      </c>
      <c r="F33" s="13">
        <v>2122.9699999999998</v>
      </c>
      <c r="G33" s="13">
        <v>6475.62</v>
      </c>
    </row>
    <row r="34" spans="1:23" ht="13.5" outlineLevel="1">
      <c r="A34" s="10" t="s">
        <v>31</v>
      </c>
      <c r="B34" s="11">
        <v>188.84</v>
      </c>
      <c r="C34" s="11">
        <v>2857.88</v>
      </c>
      <c r="D34" s="11">
        <v>6292.49</v>
      </c>
      <c r="E34" s="11">
        <v>5308.79</v>
      </c>
      <c r="F34" s="11">
        <v>3709.34</v>
      </c>
      <c r="G34" s="11">
        <v>18357.34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6841.3</v>
      </c>
      <c r="E37" s="13">
        <v>4319.66</v>
      </c>
      <c r="F37" s="13">
        <v>3289.04</v>
      </c>
      <c r="G37" s="13">
        <v>16480.759999999998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5583.89</v>
      </c>
      <c r="D40" s="15">
        <v>15213.71</v>
      </c>
      <c r="E40" s="15">
        <v>13757.17</v>
      </c>
      <c r="F40" s="15">
        <v>10249.64</v>
      </c>
      <c r="G40" s="15">
        <v>45391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257.2</v>
      </c>
      <c r="F56" s="15">
        <v>155.6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480</v>
      </c>
      <c r="F69" s="13">
        <v>300</v>
      </c>
      <c r="G69" s="13">
        <v>3180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480</v>
      </c>
      <c r="F71" s="15">
        <v>300</v>
      </c>
      <c r="G71" s="15">
        <v>3180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6800.2199999999993</v>
      </c>
      <c r="D85" s="23">
        <v>21230.979999999996</v>
      </c>
      <c r="E85" s="23">
        <v>19774.519999999997</v>
      </c>
      <c r="F85" s="23">
        <v>13236.960000000001</v>
      </c>
      <c r="G85" s="23">
        <v>61629.27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3D94-F773-4B5B-8937-C7644E86467A}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2516.5</v>
      </c>
      <c r="E9" s="15">
        <v>4049.95</v>
      </c>
      <c r="F9" s="15">
        <v>1832.23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154.5</v>
      </c>
      <c r="F31" s="13">
        <v>253.4</v>
      </c>
      <c r="G31" s="13">
        <v>791.65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1221.71</v>
      </c>
      <c r="E33" s="13">
        <v>2282.35</v>
      </c>
      <c r="F33" s="13">
        <v>2142.89</v>
      </c>
      <c r="G33" s="13">
        <v>6190.32</v>
      </c>
    </row>
    <row r="34" spans="1:23" ht="13.5" outlineLevel="1">
      <c r="A34" s="10" t="s">
        <v>31</v>
      </c>
      <c r="B34" s="11">
        <v>188.84</v>
      </c>
      <c r="C34" s="11">
        <v>2857.88</v>
      </c>
      <c r="D34" s="11">
        <v>6118.88</v>
      </c>
      <c r="E34" s="11">
        <v>5482.4</v>
      </c>
      <c r="F34" s="11">
        <v>3709.34</v>
      </c>
      <c r="G34" s="11">
        <v>18357.34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506.85</v>
      </c>
      <c r="E35" s="13">
        <v>828.11</v>
      </c>
      <c r="F35" s="13">
        <v>401.87</v>
      </c>
      <c r="G35" s="13">
        <v>1994.03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6841.3</v>
      </c>
      <c r="E37" s="13">
        <v>4319.66</v>
      </c>
      <c r="F37" s="13">
        <v>3289.04</v>
      </c>
      <c r="G37" s="13">
        <v>16480.759999999998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5498.2</v>
      </c>
      <c r="D40" s="15">
        <v>14865.75</v>
      </c>
      <c r="E40" s="15">
        <v>13740.6</v>
      </c>
      <c r="F40" s="15">
        <v>10269.56</v>
      </c>
      <c r="G40" s="15">
        <v>44960.7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280</v>
      </c>
      <c r="E42" s="11">
        <v>238</v>
      </c>
      <c r="F42" s="11">
        <v>0</v>
      </c>
      <c r="G42" s="11">
        <v>518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280</v>
      </c>
      <c r="E46" s="17">
        <v>238</v>
      </c>
      <c r="F46" s="17">
        <v>0</v>
      </c>
      <c r="G46" s="17">
        <v>518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257.2</v>
      </c>
      <c r="F56" s="15">
        <v>155.6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300</v>
      </c>
      <c r="D69" s="13">
        <v>1980</v>
      </c>
      <c r="E69" s="13">
        <v>420</v>
      </c>
      <c r="F69" s="13">
        <v>300</v>
      </c>
      <c r="G69" s="13">
        <v>3000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300</v>
      </c>
      <c r="D71" s="15">
        <v>1980</v>
      </c>
      <c r="E71" s="15">
        <v>420</v>
      </c>
      <c r="F71" s="15">
        <v>300</v>
      </c>
      <c r="G71" s="15">
        <v>3000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6594.5299999999988</v>
      </c>
      <c r="D85" s="23">
        <v>20353.019999999997</v>
      </c>
      <c r="E85" s="23">
        <v>19512.55</v>
      </c>
      <c r="F85" s="23">
        <v>13442.280000000002</v>
      </c>
      <c r="G85" s="23">
        <v>60488.969999999994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67AA-233B-4BA6-8DB2-472EA2F7C6BA}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927.35</v>
      </c>
      <c r="F4" s="11">
        <v>440.65</v>
      </c>
      <c r="G4" s="11">
        <v>1755.88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529.45000000000005</v>
      </c>
      <c r="D9" s="15">
        <v>2516.5</v>
      </c>
      <c r="E9" s="15">
        <v>4049.95</v>
      </c>
      <c r="F9" s="15">
        <v>1832.23</v>
      </c>
      <c r="G9" s="15">
        <v>8928.1299999999992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154.5</v>
      </c>
      <c r="F31" s="13">
        <v>189.03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1336.75</v>
      </c>
      <c r="E33" s="13">
        <v>2098.17</v>
      </c>
      <c r="F33" s="13">
        <v>2173.6799999999998</v>
      </c>
      <c r="G33" s="13">
        <v>6151.97</v>
      </c>
    </row>
    <row r="34" spans="1:23" ht="13.5" outlineLevel="1">
      <c r="A34" s="10" t="s">
        <v>31</v>
      </c>
      <c r="B34" s="11">
        <v>188.84</v>
      </c>
      <c r="C34" s="11">
        <v>2857.88</v>
      </c>
      <c r="D34" s="11">
        <v>5968.85</v>
      </c>
      <c r="E34" s="11">
        <v>5561.11</v>
      </c>
      <c r="F34" s="11">
        <v>3780.66</v>
      </c>
      <c r="G34" s="11">
        <v>18357.34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6841.3</v>
      </c>
      <c r="E37" s="13">
        <v>4186.17</v>
      </c>
      <c r="F37" s="13">
        <v>3422.53</v>
      </c>
      <c r="G37" s="13">
        <v>16480.759999999998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5498.2</v>
      </c>
      <c r="D40" s="15">
        <v>14975.76</v>
      </c>
      <c r="E40" s="15">
        <v>13501.64</v>
      </c>
      <c r="F40" s="15">
        <v>10440.790000000001</v>
      </c>
      <c r="G40" s="15">
        <v>45002.98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257.2</v>
      </c>
      <c r="F56" s="15">
        <v>155.6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420</v>
      </c>
      <c r="F69" s="13">
        <v>300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420</v>
      </c>
      <c r="F71" s="15">
        <v>300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6678.5299999999988</v>
      </c>
      <c r="D85" s="23">
        <v>20833.03</v>
      </c>
      <c r="E85" s="23">
        <v>19273.589999999997</v>
      </c>
      <c r="F85" s="23">
        <v>13613.510000000002</v>
      </c>
      <c r="G85" s="23">
        <v>60985.25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1B26-F64F-4B8A-8257-DFCFF25FA00D}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927.35</v>
      </c>
      <c r="F4" s="11">
        <v>440.65</v>
      </c>
      <c r="G4" s="11">
        <v>1755.88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529.45000000000005</v>
      </c>
      <c r="D9" s="15">
        <v>2516.5</v>
      </c>
      <c r="E9" s="15">
        <v>4049.95</v>
      </c>
      <c r="F9" s="15">
        <v>1832.23</v>
      </c>
      <c r="G9" s="15">
        <v>8928.1299999999992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1336.75</v>
      </c>
      <c r="E33" s="13">
        <v>2012.32</v>
      </c>
      <c r="F33" s="13">
        <v>2259.5300000000002</v>
      </c>
      <c r="G33" s="13">
        <v>6151.97</v>
      </c>
    </row>
    <row r="34" spans="1:23" ht="13.5" outlineLevel="1">
      <c r="A34" s="10" t="s">
        <v>31</v>
      </c>
      <c r="B34" s="11">
        <v>188.84</v>
      </c>
      <c r="C34" s="11">
        <v>2857.88</v>
      </c>
      <c r="D34" s="11">
        <v>5968.85</v>
      </c>
      <c r="E34" s="11">
        <v>5267.56</v>
      </c>
      <c r="F34" s="11">
        <v>4029.62</v>
      </c>
      <c r="G34" s="11">
        <v>18312.75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6841.3</v>
      </c>
      <c r="E37" s="13">
        <v>4186.17</v>
      </c>
      <c r="F37" s="13">
        <v>3422.53</v>
      </c>
      <c r="G37" s="13">
        <v>16480.759999999998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5498.2</v>
      </c>
      <c r="D40" s="15">
        <v>14975.76</v>
      </c>
      <c r="E40" s="15">
        <v>12967.74</v>
      </c>
      <c r="F40" s="15">
        <v>10930.1</v>
      </c>
      <c r="G40" s="15">
        <v>44958.390000000101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257.2</v>
      </c>
      <c r="F56" s="15">
        <v>155.6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420</v>
      </c>
      <c r="F69" s="13">
        <v>300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420</v>
      </c>
      <c r="F71" s="15">
        <v>300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6678.5299999999988</v>
      </c>
      <c r="D85" s="23">
        <v>20833.03</v>
      </c>
      <c r="E85" s="23">
        <v>18739.689999999995</v>
      </c>
      <c r="F85" s="23">
        <v>14102.820000000003</v>
      </c>
      <c r="G85" s="23">
        <v>60940.660000000047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831E-5B21-44BE-B8B2-7700BEF61453}">
  <sheetPr>
    <outlinePr applyStyles="1"/>
  </sheetPr>
  <dimension ref="A1:W100"/>
  <sheetViews>
    <sheetView view="pageBreakPreview" topLeftCell="A73" zoomScaleSheetLayoutView="100" workbookViewId="0">
      <selection activeCell="B85" sqref="B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670.15</v>
      </c>
      <c r="F4" s="11">
        <v>504.54</v>
      </c>
      <c r="G4" s="11">
        <v>1562.57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529.45000000000005</v>
      </c>
      <c r="D9" s="15">
        <v>2516.5</v>
      </c>
      <c r="E9" s="15">
        <v>3792.75</v>
      </c>
      <c r="F9" s="15">
        <v>1896.12</v>
      </c>
      <c r="G9" s="15">
        <v>8734.82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543.37</v>
      </c>
      <c r="D33" s="13">
        <v>1336.75</v>
      </c>
      <c r="E33" s="13">
        <v>2012.32</v>
      </c>
      <c r="F33" s="13">
        <v>2259.5300000000002</v>
      </c>
      <c r="G33" s="13">
        <v>6151.97</v>
      </c>
    </row>
    <row r="34" spans="1:23" ht="13.5" outlineLevel="1">
      <c r="A34" s="10" t="s">
        <v>31</v>
      </c>
      <c r="B34" s="11">
        <v>188.84</v>
      </c>
      <c r="C34" s="11">
        <v>2752.88</v>
      </c>
      <c r="D34" s="11">
        <v>6073.85</v>
      </c>
      <c r="E34" s="11">
        <v>5267.56</v>
      </c>
      <c r="F34" s="11">
        <v>4029.62</v>
      </c>
      <c r="G34" s="11">
        <v>18312.75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6697.3</v>
      </c>
      <c r="E37" s="13">
        <v>4186.17</v>
      </c>
      <c r="F37" s="13">
        <v>3053.26</v>
      </c>
      <c r="G37" s="13">
        <v>15967.49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5393.2</v>
      </c>
      <c r="D40" s="15">
        <v>14936.76</v>
      </c>
      <c r="E40" s="15">
        <v>12967.74</v>
      </c>
      <c r="F40" s="15">
        <v>10560.83</v>
      </c>
      <c r="G40" s="15">
        <v>44445.120000000003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420</v>
      </c>
      <c r="F69" s="13">
        <v>300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420</v>
      </c>
      <c r="F71" s="15">
        <v>300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6573.5299999999988</v>
      </c>
      <c r="D85" s="23">
        <v>20794.03</v>
      </c>
      <c r="E85" s="23">
        <v>18225.29</v>
      </c>
      <c r="F85" s="23">
        <v>13797.440000000002</v>
      </c>
      <c r="G85" s="23">
        <v>59976.87999999999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9A61-7E49-47B1-BA86-3D38CEDAC236}">
  <sheetPr>
    <outlinePr applyStyles="1"/>
  </sheetPr>
  <dimension ref="A1:W100"/>
  <sheetViews>
    <sheetView tabSelected="1" view="pageBreakPreview" zoomScaleSheetLayoutView="100" workbookViewId="0">
      <selection activeCell="D94" sqref="D94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0</v>
      </c>
      <c r="D4" s="11">
        <v>387.88</v>
      </c>
      <c r="E4" s="11">
        <v>670.15</v>
      </c>
      <c r="F4" s="11">
        <v>504.54</v>
      </c>
      <c r="G4" s="11">
        <v>1562.57</v>
      </c>
    </row>
    <row r="5" spans="1:7" ht="13.5" outlineLevel="1">
      <c r="A5" s="12" t="s">
        <v>2</v>
      </c>
      <c r="B5" s="13">
        <v>0</v>
      </c>
      <c r="C5" s="13">
        <v>0</v>
      </c>
      <c r="D5" s="13">
        <v>128.75</v>
      </c>
      <c r="E5" s="13">
        <v>184.7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1929.39</v>
      </c>
      <c r="F6" s="11">
        <v>185.4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0</v>
      </c>
      <c r="D8" s="11">
        <v>108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421.45</v>
      </c>
      <c r="D9" s="15">
        <v>2624.5</v>
      </c>
      <c r="E9" s="15">
        <v>3792.75</v>
      </c>
      <c r="F9" s="15">
        <v>1896.12</v>
      </c>
      <c r="G9" s="15">
        <v>8734.82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0</v>
      </c>
      <c r="F12" s="11">
        <v>206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0</v>
      </c>
      <c r="F13" s="17">
        <v>206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72.34</v>
      </c>
      <c r="G14" s="11">
        <v>602.80999999999995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0</v>
      </c>
      <c r="E16" s="11">
        <v>80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337.57</v>
      </c>
      <c r="E18" s="15">
        <v>671.8</v>
      </c>
      <c r="F18" s="15">
        <v>72.34</v>
      </c>
      <c r="G18" s="15">
        <v>1081.71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180</v>
      </c>
      <c r="F30" s="11">
        <v>180</v>
      </c>
      <c r="G30" s="11">
        <v>360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0</v>
      </c>
      <c r="F31" s="13">
        <v>343.53</v>
      </c>
      <c r="G31" s="13">
        <v>727.28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333.37</v>
      </c>
      <c r="D33" s="13">
        <v>1546.75</v>
      </c>
      <c r="E33" s="13">
        <v>2012.32</v>
      </c>
      <c r="F33" s="13">
        <v>2259.5300000000002</v>
      </c>
      <c r="G33" s="13">
        <v>6151.97</v>
      </c>
    </row>
    <row r="34" spans="1:23" ht="13.5" outlineLevel="1">
      <c r="A34" s="10" t="s">
        <v>31</v>
      </c>
      <c r="B34" s="11">
        <v>188.84</v>
      </c>
      <c r="C34" s="11">
        <v>2598.38</v>
      </c>
      <c r="D34" s="11">
        <v>6228.35</v>
      </c>
      <c r="E34" s="11">
        <v>5267.56</v>
      </c>
      <c r="F34" s="11">
        <v>4029.62</v>
      </c>
      <c r="G34" s="11">
        <v>18312.75</v>
      </c>
    </row>
    <row r="35" spans="1:23" ht="13.5" outlineLevel="1">
      <c r="A35" s="12" t="s">
        <v>32</v>
      </c>
      <c r="B35" s="13">
        <v>0</v>
      </c>
      <c r="C35" s="13">
        <v>257.2</v>
      </c>
      <c r="D35" s="13">
        <v>651.85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1633.01</v>
      </c>
      <c r="D37" s="13">
        <v>6697.3</v>
      </c>
      <c r="E37" s="13">
        <v>3934.15</v>
      </c>
      <c r="F37" s="13">
        <v>3109.04</v>
      </c>
      <c r="G37" s="13">
        <v>15771.25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5028.7</v>
      </c>
      <c r="D40" s="15">
        <v>15301.26</v>
      </c>
      <c r="E40" s="15">
        <v>12715.72</v>
      </c>
      <c r="F40" s="15">
        <v>10616.61</v>
      </c>
      <c r="G40" s="15">
        <v>44248.880000000099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650</v>
      </c>
      <c r="E42" s="11">
        <v>238</v>
      </c>
      <c r="F42" s="11">
        <v>0</v>
      </c>
      <c r="G42" s="11">
        <v>888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650</v>
      </c>
      <c r="E46" s="17">
        <v>238</v>
      </c>
      <c r="F46" s="17">
        <v>0</v>
      </c>
      <c r="G46" s="17">
        <v>888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155.6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0</v>
      </c>
      <c r="F56" s="15">
        <v>155.6</v>
      </c>
      <c r="G56" s="15">
        <v>477.1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0</v>
      </c>
      <c r="F60" s="11">
        <v>353.65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0</v>
      </c>
      <c r="F63" s="17">
        <v>353.65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1980</v>
      </c>
      <c r="E69" s="13">
        <v>360</v>
      </c>
      <c r="F69" s="13">
        <v>360</v>
      </c>
      <c r="G69" s="13">
        <v>3120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1980</v>
      </c>
      <c r="E71" s="15">
        <v>360</v>
      </c>
      <c r="F71" s="15">
        <v>360</v>
      </c>
      <c r="G71" s="15">
        <v>3120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50</v>
      </c>
      <c r="E77" s="13">
        <v>75</v>
      </c>
      <c r="F77" s="13">
        <v>0</v>
      </c>
      <c r="G77" s="13">
        <v>125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51.7</v>
      </c>
      <c r="E83" s="17">
        <v>75</v>
      </c>
      <c r="F83" s="17">
        <v>0</v>
      </c>
      <c r="G83" s="17">
        <v>126.7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v>586.59</v>
      </c>
      <c r="C85" s="23">
        <v>6101.0299999999988</v>
      </c>
      <c r="D85" s="23">
        <v>21266.53</v>
      </c>
      <c r="E85" s="23">
        <v>17913.27</v>
      </c>
      <c r="F85" s="23">
        <v>13913.220000000001</v>
      </c>
      <c r="G85" s="23">
        <v>59780.640000000043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W100"/>
  <sheetViews>
    <sheetView view="pageBreakPreview" topLeftCell="A70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523.38</v>
      </c>
      <c r="E4" s="11">
        <v>1052.19</v>
      </c>
      <c r="F4" s="11">
        <v>421.56</v>
      </c>
      <c r="G4" s="11">
        <v>2052.13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2836.7</v>
      </c>
      <c r="E9" s="15">
        <v>4753.87</v>
      </c>
      <c r="F9" s="15">
        <v>1720.56</v>
      </c>
      <c r="G9" s="15">
        <v>9895.58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362.43</v>
      </c>
      <c r="G31" s="13">
        <v>1083.67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2297.84</v>
      </c>
      <c r="F33" s="13">
        <v>2009.11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6626.65</v>
      </c>
      <c r="E34" s="11">
        <v>6799.44</v>
      </c>
      <c r="F34" s="11">
        <v>3841.6</v>
      </c>
      <c r="G34" s="11">
        <v>20841.18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2708.42</v>
      </c>
      <c r="D37" s="13">
        <v>7286.05</v>
      </c>
      <c r="E37" s="13">
        <v>4500.42</v>
      </c>
      <c r="F37" s="13">
        <v>3032.28</v>
      </c>
      <c r="G37" s="13">
        <v>17924.919999999998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7265.61</v>
      </c>
      <c r="D40" s="15">
        <v>16772.87</v>
      </c>
      <c r="E40" s="15">
        <v>15421.91</v>
      </c>
      <c r="F40" s="15">
        <v>10039.94</v>
      </c>
      <c r="G40" s="15">
        <v>50111.92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540</v>
      </c>
      <c r="D69" s="13">
        <v>2100</v>
      </c>
      <c r="E69" s="13">
        <v>540</v>
      </c>
      <c r="F69" s="13">
        <v>480</v>
      </c>
      <c r="G69" s="13">
        <v>3660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540</v>
      </c>
      <c r="D71" s="15">
        <v>2100</v>
      </c>
      <c r="E71" s="15">
        <v>540</v>
      </c>
      <c r="F71" s="15">
        <v>480</v>
      </c>
      <c r="G71" s="15">
        <v>3660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611.59</v>
      </c>
      <c r="C85" s="23">
        <f t="shared" si="0"/>
        <v>8620.9400000000023</v>
      </c>
      <c r="D85" s="23">
        <f t="shared" si="0"/>
        <v>23575.449999999997</v>
      </c>
      <c r="E85" s="23">
        <f t="shared" si="0"/>
        <v>22643.580000000005</v>
      </c>
      <c r="F85" s="23">
        <f t="shared" si="0"/>
        <v>13176.590000000004</v>
      </c>
      <c r="G85" s="23">
        <f t="shared" si="0"/>
        <v>68628.150000000009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W100"/>
  <sheetViews>
    <sheetView view="pageBreakPreview" topLeftCell="A61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421.56</v>
      </c>
      <c r="G4" s="11">
        <v>1972.13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1720.56</v>
      </c>
      <c r="G9" s="15">
        <v>9815.58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6626.65</v>
      </c>
      <c r="E34" s="11">
        <v>6542.24</v>
      </c>
      <c r="F34" s="11">
        <v>3841.6</v>
      </c>
      <c r="G34" s="11">
        <v>20583.98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2444.4</v>
      </c>
      <c r="D37" s="13">
        <v>7550.07</v>
      </c>
      <c r="E37" s="13">
        <v>4500.42</v>
      </c>
      <c r="F37" s="13">
        <v>3032.28</v>
      </c>
      <c r="G37" s="13">
        <v>17924.919999999998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7001.59</v>
      </c>
      <c r="D40" s="15">
        <v>17036.89</v>
      </c>
      <c r="E40" s="15">
        <v>15057</v>
      </c>
      <c r="F40" s="15">
        <v>10019.049999999999</v>
      </c>
      <c r="G40" s="15">
        <v>49726.12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972</v>
      </c>
      <c r="E42" s="11">
        <v>196</v>
      </c>
      <c r="F42" s="11">
        <v>0</v>
      </c>
      <c r="G42" s="11">
        <v>1168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972</v>
      </c>
      <c r="E46" s="17">
        <v>196</v>
      </c>
      <c r="F46" s="17">
        <v>0</v>
      </c>
      <c r="G46" s="17">
        <v>1168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540</v>
      </c>
      <c r="D69" s="13">
        <v>2100</v>
      </c>
      <c r="E69" s="13">
        <v>540</v>
      </c>
      <c r="F69" s="13">
        <v>420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540</v>
      </c>
      <c r="D71" s="15">
        <v>2100</v>
      </c>
      <c r="E71" s="15">
        <v>540</v>
      </c>
      <c r="F71" s="15">
        <v>420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611.59</v>
      </c>
      <c r="C85" s="23">
        <f t="shared" si="0"/>
        <v>8356.9200000000019</v>
      </c>
      <c r="D85" s="23">
        <f t="shared" si="0"/>
        <v>23684.969999999998</v>
      </c>
      <c r="E85" s="23">
        <f t="shared" si="0"/>
        <v>22353.170000000006</v>
      </c>
      <c r="F85" s="23">
        <f t="shared" si="0"/>
        <v>13095.700000000004</v>
      </c>
      <c r="G85" s="23">
        <f t="shared" si="0"/>
        <v>68102.350000000006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W100"/>
  <sheetViews>
    <sheetView view="pageBreakPreview" topLeftCell="A64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421.56</v>
      </c>
      <c r="G4" s="11">
        <v>1972.13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1720.56</v>
      </c>
      <c r="G9" s="15">
        <v>9815.58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3359.65</v>
      </c>
      <c r="D34" s="11">
        <v>6626.65</v>
      </c>
      <c r="E34" s="11">
        <v>6060.56</v>
      </c>
      <c r="F34" s="11">
        <v>4008.03</v>
      </c>
      <c r="G34" s="11">
        <v>20268.73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823.36</v>
      </c>
      <c r="E35" s="13">
        <v>570.91</v>
      </c>
      <c r="F35" s="13">
        <v>321.5</v>
      </c>
      <c r="G35" s="13">
        <v>2058.66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2259.6999999999998</v>
      </c>
      <c r="D37" s="13">
        <v>7230.31</v>
      </c>
      <c r="E37" s="13">
        <v>4500.42</v>
      </c>
      <c r="F37" s="13">
        <v>3032.28</v>
      </c>
      <c r="G37" s="13">
        <v>17420.46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6816.89</v>
      </c>
      <c r="D40" s="15">
        <v>16717.13</v>
      </c>
      <c r="E40" s="15">
        <v>14575.32</v>
      </c>
      <c r="F40" s="15">
        <v>10185.48</v>
      </c>
      <c r="G40" s="15">
        <v>48906.41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540</v>
      </c>
      <c r="F69" s="13">
        <v>420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540</v>
      </c>
      <c r="F71" s="15">
        <v>420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611.59</v>
      </c>
      <c r="C85" s="23">
        <f t="shared" si="0"/>
        <v>8112.2199999999993</v>
      </c>
      <c r="D85" s="23">
        <f t="shared" si="0"/>
        <v>23305.21</v>
      </c>
      <c r="E85" s="23">
        <f t="shared" si="0"/>
        <v>21871.490000000005</v>
      </c>
      <c r="F85" s="23">
        <f t="shared" si="0"/>
        <v>13262.130000000005</v>
      </c>
      <c r="G85" s="23">
        <f t="shared" si="0"/>
        <v>67162.640000000014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W100"/>
  <sheetViews>
    <sheetView view="pageBreakPreview" topLeftCell="A64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421.56</v>
      </c>
      <c r="G4" s="11">
        <v>1972.13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1720.56</v>
      </c>
      <c r="G9" s="15">
        <v>9815.58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3282.98</v>
      </c>
      <c r="D34" s="11">
        <v>6703.32</v>
      </c>
      <c r="E34" s="11">
        <v>5906.24</v>
      </c>
      <c r="F34" s="11">
        <v>4008.03</v>
      </c>
      <c r="G34" s="11">
        <v>20114.41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482.24</v>
      </c>
      <c r="G35" s="13">
        <v>2219.4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2259.6999999999998</v>
      </c>
      <c r="D37" s="13">
        <v>7230.31</v>
      </c>
      <c r="E37" s="13">
        <v>4401.42</v>
      </c>
      <c r="F37" s="13">
        <v>3091.48</v>
      </c>
      <c r="G37" s="13">
        <v>17380.66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6740.22</v>
      </c>
      <c r="D40" s="15">
        <v>16536.599999999999</v>
      </c>
      <c r="E40" s="15">
        <v>14579.2</v>
      </c>
      <c r="F40" s="15">
        <v>10405.42</v>
      </c>
      <c r="G40" s="15">
        <v>48873.03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540</v>
      </c>
      <c r="F69" s="13">
        <v>420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540</v>
      </c>
      <c r="F71" s="15">
        <v>420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611.59</v>
      </c>
      <c r="C85" s="23">
        <f t="shared" si="0"/>
        <v>8035.5499999999993</v>
      </c>
      <c r="D85" s="23">
        <f t="shared" si="0"/>
        <v>23124.679999999997</v>
      </c>
      <c r="E85" s="23">
        <f t="shared" si="0"/>
        <v>21875.370000000006</v>
      </c>
      <c r="F85" s="23">
        <f t="shared" si="0"/>
        <v>13482.070000000003</v>
      </c>
      <c r="G85" s="23">
        <f t="shared" si="0"/>
        <v>67129.260000000009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3F4E-19D1-4DB5-85F4-1777925619E6}">
  <sheetPr>
    <outlinePr applyStyles="1"/>
  </sheetPr>
  <dimension ref="A1:W100"/>
  <sheetViews>
    <sheetView view="pageBreakPreview" topLeftCell="A73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1126.69</v>
      </c>
      <c r="F4" s="11">
        <v>241.31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671.2</v>
      </c>
      <c r="G6" s="11">
        <v>4864.43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4828.37</v>
      </c>
      <c r="F9" s="15">
        <v>1540.31</v>
      </c>
      <c r="G9" s="15">
        <v>9635.33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422.23</v>
      </c>
      <c r="F30" s="11">
        <v>180</v>
      </c>
      <c r="G30" s="11">
        <v>602.23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1859.8</v>
      </c>
      <c r="E33" s="13">
        <v>2190.13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3282.98</v>
      </c>
      <c r="D34" s="11">
        <v>6703.32</v>
      </c>
      <c r="E34" s="11">
        <v>5751.74</v>
      </c>
      <c r="F34" s="11">
        <v>4008.03</v>
      </c>
      <c r="G34" s="11">
        <v>19959.91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2259.6999999999998</v>
      </c>
      <c r="D37" s="13">
        <v>7230.31</v>
      </c>
      <c r="E37" s="13">
        <v>4401.42</v>
      </c>
      <c r="F37" s="13">
        <v>3091.48</v>
      </c>
      <c r="G37" s="13">
        <v>17380.66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6740.22</v>
      </c>
      <c r="D40" s="15">
        <v>16536.599999999999</v>
      </c>
      <c r="E40" s="15">
        <v>14424.7</v>
      </c>
      <c r="F40" s="15">
        <v>10325.049999999999</v>
      </c>
      <c r="G40" s="15">
        <v>48638.16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290.05</v>
      </c>
      <c r="F60" s="11">
        <v>96.45</v>
      </c>
      <c r="G60" s="11">
        <v>386.5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290.05</v>
      </c>
      <c r="F63" s="17">
        <v>96.45</v>
      </c>
      <c r="G63" s="17">
        <v>386.5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480</v>
      </c>
      <c r="F69" s="13">
        <v>480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480</v>
      </c>
      <c r="F71" s="15">
        <v>480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611.59</v>
      </c>
      <c r="C85" s="23">
        <f t="shared" si="0"/>
        <v>8035.5499999999993</v>
      </c>
      <c r="D85" s="23">
        <f t="shared" si="0"/>
        <v>23124.679999999997</v>
      </c>
      <c r="E85" s="23">
        <f t="shared" si="0"/>
        <v>21660.870000000006</v>
      </c>
      <c r="F85" s="23">
        <f t="shared" si="0"/>
        <v>13281.450000000004</v>
      </c>
      <c r="G85" s="23">
        <f t="shared" si="0"/>
        <v>66714.14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850C-7AB1-4285-ADFF-D179D5BB5B45}">
  <sheetPr>
    <outlinePr applyStyles="1"/>
  </sheetPr>
  <dimension ref="A1:W100"/>
  <sheetViews>
    <sheetView view="pageBreakPreview" topLeftCell="A70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975.35</v>
      </c>
      <c r="F4" s="11">
        <v>392.65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4677.03</v>
      </c>
      <c r="F9" s="15">
        <v>1020.45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195.4</v>
      </c>
      <c r="F14" s="11">
        <v>72.34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594.29999999999995</v>
      </c>
      <c r="F18" s="15">
        <v>72.34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233.83</v>
      </c>
      <c r="G31" s="13">
        <v>955.07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1694.57</v>
      </c>
      <c r="E33" s="13">
        <v>2355.36</v>
      </c>
      <c r="F33" s="13">
        <v>2116.8200000000002</v>
      </c>
      <c r="G33" s="13">
        <v>6814.66</v>
      </c>
    </row>
    <row r="34" spans="1:23" ht="13.5" outlineLevel="1">
      <c r="A34" s="10" t="s">
        <v>31</v>
      </c>
      <c r="B34" s="11">
        <v>213.84</v>
      </c>
      <c r="C34" s="11">
        <v>3282.98</v>
      </c>
      <c r="D34" s="11">
        <v>6703.32</v>
      </c>
      <c r="E34" s="11">
        <v>5414.16</v>
      </c>
      <c r="F34" s="11">
        <v>4066.68</v>
      </c>
      <c r="G34" s="11">
        <v>19680.98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2162.83</v>
      </c>
      <c r="D37" s="13">
        <v>7213.68</v>
      </c>
      <c r="E37" s="13">
        <v>4401.42</v>
      </c>
      <c r="F37" s="13">
        <v>3091.48</v>
      </c>
      <c r="G37" s="13">
        <v>17267.16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611.59</v>
      </c>
      <c r="C40" s="15">
        <v>6643.35</v>
      </c>
      <c r="D40" s="15">
        <v>16354.74</v>
      </c>
      <c r="E40" s="15">
        <v>14203.02</v>
      </c>
      <c r="F40" s="15">
        <v>10383.700000000001</v>
      </c>
      <c r="G40" s="15">
        <v>48196.4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257.2</v>
      </c>
      <c r="G48" s="11">
        <v>578.70000000000005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514.4</v>
      </c>
      <c r="G56" s="15">
        <v>1248.7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480</v>
      </c>
      <c r="F69" s="13">
        <v>480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480</v>
      </c>
      <c r="F71" s="15">
        <v>480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168.65</v>
      </c>
      <c r="F77" s="13">
        <v>0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168.65</v>
      </c>
      <c r="F83" s="17">
        <v>0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611.59</v>
      </c>
      <c r="C85" s="23">
        <f t="shared" si="0"/>
        <v>7938.68</v>
      </c>
      <c r="D85" s="23">
        <f t="shared" si="0"/>
        <v>22942.819999999996</v>
      </c>
      <c r="E85" s="23">
        <f t="shared" si="0"/>
        <v>21254.999999999996</v>
      </c>
      <c r="F85" s="23">
        <f t="shared" si="0"/>
        <v>12820.240000000005</v>
      </c>
      <c r="G85" s="23">
        <f t="shared" si="0"/>
        <v>65568.329999999987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B3B8-7E4D-4A21-B8BA-FEEAF85531E5}">
  <sheetPr>
    <outlinePr applyStyles="1"/>
  </sheetPr>
  <dimension ref="A1:W100"/>
  <sheetViews>
    <sheetView view="pageBreakPreview" topLeftCell="A67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951.53</v>
      </c>
      <c r="F7" s="13">
        <v>627.79999999999995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4629.03</v>
      </c>
      <c r="F9" s="15">
        <v>1068.45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2521.58</v>
      </c>
      <c r="F33" s="13">
        <v>2080.8200000000002</v>
      </c>
      <c r="G33" s="13">
        <v>6778.66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5735.66</v>
      </c>
      <c r="F34" s="11">
        <v>3927.63</v>
      </c>
      <c r="G34" s="11">
        <v>19466.88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2082.46</v>
      </c>
      <c r="D37" s="13">
        <v>7294.05</v>
      </c>
      <c r="E37" s="13">
        <v>4401.42</v>
      </c>
      <c r="F37" s="13">
        <v>3091.48</v>
      </c>
      <c r="G37" s="13">
        <v>17267.16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596.28</v>
      </c>
      <c r="F38" s="11">
        <v>293.02</v>
      </c>
      <c r="G38" s="11">
        <v>889.3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6587.98</v>
      </c>
      <c r="D40" s="15">
        <v>15872.34</v>
      </c>
      <c r="E40" s="15">
        <v>14947.94</v>
      </c>
      <c r="F40" s="15">
        <v>10099.469999999999</v>
      </c>
      <c r="G40" s="15">
        <v>48094.320000000102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852</v>
      </c>
      <c r="E42" s="11">
        <v>196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852</v>
      </c>
      <c r="E46" s="17">
        <v>196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257.2</v>
      </c>
      <c r="G52" s="11">
        <v>514.4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257.2</v>
      </c>
      <c r="G56" s="15">
        <v>991.5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2160</v>
      </c>
      <c r="E69" s="13">
        <v>480</v>
      </c>
      <c r="F69" s="13">
        <v>480</v>
      </c>
      <c r="G69" s="13">
        <v>3600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2160</v>
      </c>
      <c r="E71" s="15">
        <v>480</v>
      </c>
      <c r="F71" s="15">
        <v>480</v>
      </c>
      <c r="G71" s="15">
        <v>3600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25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25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586.59</v>
      </c>
      <c r="C85" s="23">
        <f t="shared" si="0"/>
        <v>7883.3099999999995</v>
      </c>
      <c r="D85" s="23">
        <f t="shared" si="0"/>
        <v>22460.42</v>
      </c>
      <c r="E85" s="23">
        <f t="shared" si="0"/>
        <v>21805.769999999997</v>
      </c>
      <c r="F85" s="23">
        <f t="shared" si="0"/>
        <v>12472.960000000005</v>
      </c>
      <c r="G85" s="23">
        <f t="shared" si="0"/>
        <v>65209.050000000054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FA22-B719-4CC5-9A63-5077EAD66345}">
  <sheetPr>
    <outlinePr applyStyles="1"/>
  </sheetPr>
  <dimension ref="A1:W100"/>
  <sheetViews>
    <sheetView view="pageBreakPreview" topLeftCell="A58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2521.58</v>
      </c>
      <c r="F33" s="13">
        <v>2080.8200000000002</v>
      </c>
      <c r="G33" s="13">
        <v>6778.66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3766.88</v>
      </c>
      <c r="G34" s="11">
        <v>19074.38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7438.21</v>
      </c>
      <c r="E37" s="13">
        <v>4321.42</v>
      </c>
      <c r="F37" s="13">
        <v>3091.48</v>
      </c>
      <c r="G37" s="13">
        <v>17187.16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16016.5</v>
      </c>
      <c r="E40" s="15">
        <v>14378.99</v>
      </c>
      <c r="F40" s="15">
        <v>9938.7199999999993</v>
      </c>
      <c r="G40" s="15">
        <v>47364.62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480</v>
      </c>
      <c r="D69" s="13">
        <v>2040</v>
      </c>
      <c r="E69" s="13">
        <v>600</v>
      </c>
      <c r="F69" s="13">
        <v>420</v>
      </c>
      <c r="G69" s="13">
        <v>3540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480</v>
      </c>
      <c r="D71" s="15">
        <v>2040</v>
      </c>
      <c r="E71" s="15">
        <v>600</v>
      </c>
      <c r="F71" s="15">
        <v>420</v>
      </c>
      <c r="G71" s="15">
        <v>3540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25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25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586.59</v>
      </c>
      <c r="C85" s="23">
        <f t="shared" si="0"/>
        <v>7739.15</v>
      </c>
      <c r="D85" s="23">
        <f t="shared" si="0"/>
        <v>22442.579999999998</v>
      </c>
      <c r="E85" s="23">
        <f t="shared" si="0"/>
        <v>20820.439999999995</v>
      </c>
      <c r="F85" s="23">
        <f t="shared" si="0"/>
        <v>12573.390000000003</v>
      </c>
      <c r="G85" s="23">
        <f t="shared" si="0"/>
        <v>64162.15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4429-00C3-4707-924C-26BBD0611A29}">
  <sheetPr>
    <outlinePr applyStyles="1"/>
  </sheetPr>
  <dimension ref="A1:W100"/>
  <sheetViews>
    <sheetView view="pageBreakPreview" topLeftCell="A82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55</v>
      </c>
      <c r="D4" s="11">
        <v>368.88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584.45000000000005</v>
      </c>
      <c r="D9" s="15">
        <v>2682.2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2521.58</v>
      </c>
      <c r="F33" s="13">
        <v>2080.8200000000002</v>
      </c>
      <c r="G33" s="13">
        <v>6778.66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3766.88</v>
      </c>
      <c r="G34" s="11">
        <v>19074.38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7438.21</v>
      </c>
      <c r="E37" s="13">
        <v>4183.28</v>
      </c>
      <c r="F37" s="13">
        <v>3229.62</v>
      </c>
      <c r="G37" s="13">
        <v>17187.16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16016.5</v>
      </c>
      <c r="E40" s="15">
        <v>14240.85</v>
      </c>
      <c r="F40" s="15">
        <v>10076.86</v>
      </c>
      <c r="G40" s="15">
        <v>47364.620000000097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2100</v>
      </c>
      <c r="E69" s="13">
        <v>600</v>
      </c>
      <c r="F69" s="13">
        <v>420</v>
      </c>
      <c r="G69" s="13">
        <v>3540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2100</v>
      </c>
      <c r="E71" s="15">
        <v>600</v>
      </c>
      <c r="F71" s="15">
        <v>420</v>
      </c>
      <c r="G71" s="15">
        <v>3540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153.11000000000001</v>
      </c>
      <c r="E77" s="13">
        <v>25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154.81</v>
      </c>
      <c r="E83" s="17">
        <v>25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586.59</v>
      </c>
      <c r="C85" s="23">
        <f t="shared" si="0"/>
        <v>7679.15</v>
      </c>
      <c r="D85" s="23">
        <f t="shared" si="0"/>
        <v>22502.579999999998</v>
      </c>
      <c r="E85" s="23">
        <f t="shared" si="0"/>
        <v>20682.299999999996</v>
      </c>
      <c r="F85" s="23">
        <f t="shared" si="0"/>
        <v>12711.530000000004</v>
      </c>
      <c r="G85" s="23">
        <f t="shared" si="0"/>
        <v>64162.150000000052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29DF-D343-47A1-9A7C-6DAA00277B49}">
  <sheetPr>
    <outlinePr applyStyles="1"/>
  </sheetPr>
  <dimension ref="A1:W100"/>
  <sheetViews>
    <sheetView view="pageBreakPreview" topLeftCell="A67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1413.31</v>
      </c>
      <c r="E33" s="13">
        <v>2377.42</v>
      </c>
      <c r="F33" s="13">
        <v>2080.8200000000002</v>
      </c>
      <c r="G33" s="13">
        <v>6519.46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3606.13</v>
      </c>
      <c r="G34" s="11">
        <v>18913.63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421.16</v>
      </c>
      <c r="E35" s="13">
        <v>828.11</v>
      </c>
      <c r="F35" s="13">
        <v>401.87</v>
      </c>
      <c r="G35" s="13">
        <v>1994.03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7438.21</v>
      </c>
      <c r="E37" s="13">
        <v>4183.28</v>
      </c>
      <c r="F37" s="13">
        <v>3229.62</v>
      </c>
      <c r="G37" s="13">
        <v>17187.16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15756.46</v>
      </c>
      <c r="E40" s="15">
        <v>14096.69</v>
      </c>
      <c r="F40" s="15">
        <v>9916.11</v>
      </c>
      <c r="G40" s="15">
        <v>46799.67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280</v>
      </c>
      <c r="E42" s="11">
        <v>238</v>
      </c>
      <c r="F42" s="11">
        <v>0</v>
      </c>
      <c r="G42" s="11">
        <v>518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280</v>
      </c>
      <c r="E46" s="17">
        <v>238</v>
      </c>
      <c r="F46" s="17">
        <v>0</v>
      </c>
      <c r="G46" s="17">
        <v>518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300</v>
      </c>
      <c r="D69" s="13">
        <v>2100</v>
      </c>
      <c r="E69" s="13">
        <v>540</v>
      </c>
      <c r="F69" s="13">
        <v>360</v>
      </c>
      <c r="G69" s="13">
        <v>3300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300</v>
      </c>
      <c r="D71" s="15">
        <v>2100</v>
      </c>
      <c r="E71" s="15">
        <v>540</v>
      </c>
      <c r="F71" s="15">
        <v>360</v>
      </c>
      <c r="G71" s="15">
        <v>3300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103.11</v>
      </c>
      <c r="E77" s="13">
        <v>75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104.81</v>
      </c>
      <c r="E83" s="17">
        <v>75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586.59</v>
      </c>
      <c r="C85" s="23">
        <f t="shared" si="0"/>
        <v>7540.15</v>
      </c>
      <c r="D85" s="23">
        <f t="shared" si="0"/>
        <v>21681.539999999997</v>
      </c>
      <c r="E85" s="23">
        <f t="shared" si="0"/>
        <v>20528.139999999996</v>
      </c>
      <c r="F85" s="23">
        <f t="shared" si="0"/>
        <v>12490.780000000004</v>
      </c>
      <c r="G85" s="23">
        <f t="shared" si="0"/>
        <v>62827.199999999997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29B3-14AF-444E-9E2A-5B5CC7FC58BD}">
  <sheetPr>
    <outlinePr applyStyles="1"/>
  </sheetPr>
  <dimension ref="A1:W100"/>
  <sheetViews>
    <sheetView view="pageBreakPreview" topLeftCell="A67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4" t="s">
        <v>89</v>
      </c>
      <c r="B1" s="24"/>
      <c r="C1" s="24"/>
      <c r="D1" s="24"/>
      <c r="E1" s="24"/>
      <c r="F1" s="24"/>
      <c r="G1" s="24"/>
    </row>
    <row r="2" spans="1:7" s="5" customFormat="1" ht="33">
      <c r="A2" s="25" t="s">
        <v>88</v>
      </c>
      <c r="B2" s="25"/>
      <c r="C2" s="25"/>
      <c r="D2" s="25"/>
      <c r="E2" s="25"/>
      <c r="F2" s="25"/>
      <c r="G2" s="25"/>
    </row>
    <row r="3" spans="1:7" s="6" customFormat="1" ht="38.25" customHeight="1">
      <c r="A3" s="20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21" t="s">
        <v>80</v>
      </c>
    </row>
    <row r="4" spans="1:7" ht="13.5" outlineLevel="1">
      <c r="A4" s="10" t="s">
        <v>1</v>
      </c>
      <c r="B4" s="11">
        <v>0</v>
      </c>
      <c r="C4" s="11">
        <v>36</v>
      </c>
      <c r="D4" s="11">
        <v>387.88</v>
      </c>
      <c r="E4" s="11">
        <v>927.35</v>
      </c>
      <c r="F4" s="11">
        <v>440.65</v>
      </c>
      <c r="G4" s="11">
        <v>1791.88</v>
      </c>
    </row>
    <row r="5" spans="1:7" ht="13.5" outlineLevel="1">
      <c r="A5" s="12" t="s">
        <v>2</v>
      </c>
      <c r="B5" s="13">
        <v>0</v>
      </c>
      <c r="C5" s="13">
        <v>0</v>
      </c>
      <c r="D5" s="13">
        <v>313.45</v>
      </c>
      <c r="E5" s="13">
        <v>0</v>
      </c>
      <c r="F5" s="13">
        <v>0</v>
      </c>
      <c r="G5" s="13">
        <v>313.45</v>
      </c>
    </row>
    <row r="6" spans="1:7" ht="13.5" outlineLevel="1">
      <c r="A6" s="10" t="s">
        <v>3</v>
      </c>
      <c r="B6" s="11">
        <v>0</v>
      </c>
      <c r="C6" s="11">
        <v>421.45</v>
      </c>
      <c r="D6" s="11">
        <v>1656.99</v>
      </c>
      <c r="E6" s="11">
        <v>2114.79</v>
      </c>
      <c r="F6" s="11">
        <v>0</v>
      </c>
      <c r="G6" s="11">
        <v>4193.2299999999996</v>
      </c>
    </row>
    <row r="7" spans="1:7" ht="13.5" outlineLevel="1">
      <c r="A7" s="12" t="s">
        <v>4</v>
      </c>
      <c r="B7" s="13">
        <v>0</v>
      </c>
      <c r="C7" s="13">
        <v>0</v>
      </c>
      <c r="D7" s="13">
        <v>342.88</v>
      </c>
      <c r="E7" s="13">
        <v>373.15</v>
      </c>
      <c r="F7" s="13">
        <v>1206.18</v>
      </c>
      <c r="G7" s="13">
        <v>1922.21</v>
      </c>
    </row>
    <row r="8" spans="1:7" ht="13.5" outlineLevel="1">
      <c r="A8" s="10" t="s">
        <v>5</v>
      </c>
      <c r="B8" s="11">
        <v>0</v>
      </c>
      <c r="C8" s="11">
        <v>108</v>
      </c>
      <c r="D8" s="11">
        <v>0</v>
      </c>
      <c r="E8" s="11">
        <v>635.36</v>
      </c>
      <c r="F8" s="11">
        <v>0</v>
      </c>
      <c r="G8" s="11">
        <v>743.36</v>
      </c>
    </row>
    <row r="9" spans="1:7" s="7" customFormat="1" ht="15">
      <c r="A9" s="14" t="s">
        <v>0</v>
      </c>
      <c r="B9" s="15">
        <v>0</v>
      </c>
      <c r="C9" s="15">
        <v>565.45000000000005</v>
      </c>
      <c r="D9" s="15">
        <v>2701.2</v>
      </c>
      <c r="E9" s="15">
        <v>4050.65</v>
      </c>
      <c r="F9" s="15">
        <v>1646.83</v>
      </c>
      <c r="G9" s="15">
        <v>8964.1299999999992</v>
      </c>
    </row>
    <row r="10" spans="1:7" ht="13.5" outlineLevel="1">
      <c r="A10" s="10" t="s">
        <v>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</row>
    <row r="11" spans="1:7" ht="13.5" outlineLevel="1">
      <c r="A11" s="12" t="s">
        <v>8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ht="13.5" outlineLevel="1">
      <c r="A12" s="10" t="s">
        <v>9</v>
      </c>
      <c r="B12" s="11">
        <v>0</v>
      </c>
      <c r="C12" s="11">
        <v>0</v>
      </c>
      <c r="D12" s="11">
        <v>0</v>
      </c>
      <c r="E12" s="11">
        <v>206</v>
      </c>
      <c r="F12" s="11">
        <v>0</v>
      </c>
      <c r="G12" s="11">
        <v>206</v>
      </c>
    </row>
    <row r="13" spans="1:7" s="7" customFormat="1" ht="15">
      <c r="A13" s="16" t="s">
        <v>6</v>
      </c>
      <c r="B13" s="17">
        <v>0</v>
      </c>
      <c r="C13" s="17">
        <v>0</v>
      </c>
      <c r="D13" s="17">
        <v>0</v>
      </c>
      <c r="E13" s="17">
        <v>206</v>
      </c>
      <c r="F13" s="17">
        <v>0</v>
      </c>
      <c r="G13" s="17">
        <v>206</v>
      </c>
    </row>
    <row r="14" spans="1:7" s="8" customFormat="1" ht="15" outlineLevel="1">
      <c r="A14" s="10" t="s">
        <v>11</v>
      </c>
      <c r="B14" s="11">
        <v>0</v>
      </c>
      <c r="C14" s="11">
        <v>0</v>
      </c>
      <c r="D14" s="11">
        <v>337.57</v>
      </c>
      <c r="E14" s="11">
        <v>192.9</v>
      </c>
      <c r="F14" s="11">
        <v>74.84</v>
      </c>
      <c r="G14" s="11">
        <v>605.30999999999995</v>
      </c>
    </row>
    <row r="15" spans="1:7" s="3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206</v>
      </c>
      <c r="F15" s="13">
        <v>0</v>
      </c>
      <c r="G15" s="13">
        <v>206</v>
      </c>
    </row>
    <row r="16" spans="1:7" ht="13.5" outlineLevel="1">
      <c r="A16" s="10" t="s">
        <v>13</v>
      </c>
      <c r="B16" s="11">
        <v>0</v>
      </c>
      <c r="C16" s="11">
        <v>0</v>
      </c>
      <c r="D16" s="11">
        <v>80</v>
      </c>
      <c r="E16" s="11">
        <v>0</v>
      </c>
      <c r="F16" s="11">
        <v>0</v>
      </c>
      <c r="G16" s="11">
        <v>80</v>
      </c>
    </row>
    <row r="17" spans="1:7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192.9</v>
      </c>
      <c r="F17" s="13">
        <v>0</v>
      </c>
      <c r="G17" s="13">
        <v>192.9</v>
      </c>
    </row>
    <row r="18" spans="1:7" s="7" customFormat="1" ht="15">
      <c r="A18" s="14" t="s">
        <v>10</v>
      </c>
      <c r="B18" s="15">
        <v>0</v>
      </c>
      <c r="C18" s="15">
        <v>0</v>
      </c>
      <c r="D18" s="15">
        <v>417.57</v>
      </c>
      <c r="E18" s="15">
        <v>591.79999999999995</v>
      </c>
      <c r="F18" s="15">
        <v>74.84</v>
      </c>
      <c r="G18" s="15">
        <v>1084.21</v>
      </c>
    </row>
    <row r="19" spans="1:7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s="8" customFormat="1" ht="15" outlineLevel="1">
      <c r="A20" s="10" t="s">
        <v>17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</row>
    <row r="21" spans="1:7" ht="13.5" outlineLevel="1">
      <c r="A21" s="12" t="s">
        <v>18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0" t="s">
        <v>19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</row>
    <row r="23" spans="1:7" ht="13.5" outlineLevel="1">
      <c r="A23" s="12" t="s">
        <v>20</v>
      </c>
      <c r="B23" s="13">
        <v>0</v>
      </c>
      <c r="C23" s="13">
        <v>0</v>
      </c>
      <c r="D23" s="13">
        <v>0</v>
      </c>
      <c r="E23" s="13">
        <v>60</v>
      </c>
      <c r="F23" s="13">
        <v>0</v>
      </c>
      <c r="G23" s="13">
        <v>60</v>
      </c>
    </row>
    <row r="24" spans="1:7" ht="13.5" outlineLevel="1">
      <c r="A24" s="10" t="s">
        <v>21</v>
      </c>
      <c r="B24" s="11">
        <v>0</v>
      </c>
      <c r="C24" s="11">
        <v>0</v>
      </c>
      <c r="D24" s="11">
        <v>0</v>
      </c>
      <c r="E24" s="11">
        <v>0</v>
      </c>
      <c r="F24" s="11">
        <v>60</v>
      </c>
      <c r="G24" s="11">
        <v>60</v>
      </c>
    </row>
    <row r="25" spans="1:7" ht="13.5" outlineLevel="1">
      <c r="A25" s="12" t="s">
        <v>22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ht="13.5" outlineLevel="1">
      <c r="A26" s="10" t="s">
        <v>23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</row>
    <row r="27" spans="1:7" s="7" customFormat="1" ht="15">
      <c r="A27" s="16" t="s">
        <v>15</v>
      </c>
      <c r="B27" s="17">
        <v>0</v>
      </c>
      <c r="C27" s="17">
        <v>0</v>
      </c>
      <c r="D27" s="17">
        <v>0</v>
      </c>
      <c r="E27" s="17">
        <v>60</v>
      </c>
      <c r="F27" s="17">
        <v>60</v>
      </c>
      <c r="G27" s="17">
        <v>120</v>
      </c>
    </row>
    <row r="28" spans="1:7" ht="13.5" outlineLevel="1">
      <c r="A28" s="10" t="s">
        <v>25</v>
      </c>
      <c r="B28" s="11">
        <v>0</v>
      </c>
      <c r="C28" s="11">
        <v>0</v>
      </c>
      <c r="D28" s="11">
        <v>0</v>
      </c>
      <c r="E28" s="11">
        <v>154.5</v>
      </c>
      <c r="F28" s="11">
        <v>0</v>
      </c>
      <c r="G28" s="11">
        <v>154.5</v>
      </c>
    </row>
    <row r="29" spans="1:7" ht="13.5" outlineLevel="1">
      <c r="A29" s="12" t="s">
        <v>26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s="8" customFormat="1" ht="15" outlineLevel="1">
      <c r="A30" s="10" t="s">
        <v>27</v>
      </c>
      <c r="B30" s="11">
        <v>0</v>
      </c>
      <c r="C30" s="11">
        <v>0</v>
      </c>
      <c r="D30" s="11">
        <v>0</v>
      </c>
      <c r="E30" s="11">
        <v>372.9</v>
      </c>
      <c r="F30" s="11">
        <v>180</v>
      </c>
      <c r="G30" s="11">
        <v>552.9</v>
      </c>
    </row>
    <row r="31" spans="1:7" ht="13.5" outlineLevel="1">
      <c r="A31" s="12" t="s">
        <v>28</v>
      </c>
      <c r="B31" s="13">
        <v>0</v>
      </c>
      <c r="C31" s="13">
        <v>206.74</v>
      </c>
      <c r="D31" s="13">
        <v>177.01</v>
      </c>
      <c r="E31" s="13">
        <v>337.49</v>
      </c>
      <c r="F31" s="13">
        <v>124.65</v>
      </c>
      <c r="G31" s="13">
        <v>845.89</v>
      </c>
    </row>
    <row r="32" spans="1:7" ht="13.5" outlineLevel="1">
      <c r="A32" s="10" t="s">
        <v>29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</row>
    <row r="33" spans="1:23" ht="13.5" outlineLevel="1">
      <c r="A33" s="12" t="s">
        <v>30</v>
      </c>
      <c r="B33" s="13">
        <v>0</v>
      </c>
      <c r="C33" s="13">
        <v>647.91</v>
      </c>
      <c r="D33" s="13">
        <v>1528.35</v>
      </c>
      <c r="E33" s="13">
        <v>2377.42</v>
      </c>
      <c r="F33" s="13">
        <v>2016.67</v>
      </c>
      <c r="G33" s="13">
        <v>6570.35</v>
      </c>
    </row>
    <row r="34" spans="1:23" ht="13.5" outlineLevel="1">
      <c r="A34" s="10" t="s">
        <v>31</v>
      </c>
      <c r="B34" s="11">
        <v>188.84</v>
      </c>
      <c r="C34" s="11">
        <v>3307.98</v>
      </c>
      <c r="D34" s="11">
        <v>6306.77</v>
      </c>
      <c r="E34" s="11">
        <v>5503.91</v>
      </c>
      <c r="F34" s="11">
        <v>3606.13</v>
      </c>
      <c r="G34" s="11">
        <v>18913.63</v>
      </c>
    </row>
    <row r="35" spans="1:23" ht="13.5" outlineLevel="1">
      <c r="A35" s="12" t="s">
        <v>32</v>
      </c>
      <c r="B35" s="13">
        <v>0</v>
      </c>
      <c r="C35" s="13">
        <v>342.89</v>
      </c>
      <c r="D35" s="13">
        <v>566.16</v>
      </c>
      <c r="E35" s="13">
        <v>828.11</v>
      </c>
      <c r="F35" s="13">
        <v>401.87</v>
      </c>
      <c r="G35" s="13">
        <v>2139.0300000000002</v>
      </c>
    </row>
    <row r="36" spans="1:23" ht="13.5" outlineLevel="1">
      <c r="A36" s="10" t="s">
        <v>33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</row>
    <row r="37" spans="1:23" ht="13.5" outlineLevel="1">
      <c r="A37" s="12" t="s">
        <v>34</v>
      </c>
      <c r="B37" s="13">
        <v>397.75</v>
      </c>
      <c r="C37" s="13">
        <v>1938.3</v>
      </c>
      <c r="D37" s="13">
        <v>7375.17</v>
      </c>
      <c r="E37" s="13">
        <v>4183.28</v>
      </c>
      <c r="F37" s="13">
        <v>3229.62</v>
      </c>
      <c r="G37" s="13">
        <v>17124.12</v>
      </c>
    </row>
    <row r="38" spans="1:23" ht="13.5" outlineLevel="1">
      <c r="A38" s="10" t="s">
        <v>35</v>
      </c>
      <c r="B38" s="11">
        <v>0</v>
      </c>
      <c r="C38" s="11">
        <v>0</v>
      </c>
      <c r="D38" s="11">
        <v>0</v>
      </c>
      <c r="E38" s="11">
        <v>339.08</v>
      </c>
      <c r="F38" s="11">
        <v>293.02</v>
      </c>
      <c r="G38" s="11">
        <v>632.1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23" s="7" customFormat="1" ht="15">
      <c r="A40" s="14" t="s">
        <v>24</v>
      </c>
      <c r="B40" s="15">
        <v>586.59</v>
      </c>
      <c r="C40" s="15">
        <v>6443.82</v>
      </c>
      <c r="D40" s="15">
        <v>15953.46</v>
      </c>
      <c r="E40" s="15">
        <v>14096.69</v>
      </c>
      <c r="F40" s="15">
        <v>9851.9599999999991</v>
      </c>
      <c r="G40" s="15">
        <v>46932.520000000099</v>
      </c>
    </row>
    <row r="41" spans="1:23" ht="13.5" outlineLevel="1">
      <c r="A41" s="12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23" ht="13.5" outlineLevel="1">
      <c r="A42" s="10" t="s">
        <v>39</v>
      </c>
      <c r="B42" s="11">
        <v>0</v>
      </c>
      <c r="C42" s="11">
        <v>0</v>
      </c>
      <c r="D42" s="11">
        <v>810</v>
      </c>
      <c r="E42" s="11">
        <v>238</v>
      </c>
      <c r="F42" s="11">
        <v>0</v>
      </c>
      <c r="G42" s="11">
        <v>1048</v>
      </c>
    </row>
    <row r="43" spans="1:23" s="8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23" ht="13.5" outlineLevel="1">
      <c r="A44" s="10" t="s">
        <v>41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23" s="1" customFormat="1" ht="13.5">
      <c r="A46" s="16" t="s">
        <v>37</v>
      </c>
      <c r="B46" s="17">
        <v>0</v>
      </c>
      <c r="C46" s="17">
        <v>0</v>
      </c>
      <c r="D46" s="17">
        <v>810</v>
      </c>
      <c r="E46" s="17">
        <v>238</v>
      </c>
      <c r="F46" s="17">
        <v>0</v>
      </c>
      <c r="G46" s="17">
        <v>1048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155.6</v>
      </c>
      <c r="F47" s="13">
        <v>0</v>
      </c>
      <c r="G47" s="13">
        <v>155.6</v>
      </c>
    </row>
    <row r="48" spans="1:23" ht="13.5" outlineLevel="1">
      <c r="A48" s="10" t="s">
        <v>45</v>
      </c>
      <c r="B48" s="11">
        <v>0</v>
      </c>
      <c r="C48" s="11">
        <v>0</v>
      </c>
      <c r="D48" s="11">
        <v>321.5</v>
      </c>
      <c r="E48" s="11">
        <v>0</v>
      </c>
      <c r="F48" s="11">
        <v>0</v>
      </c>
      <c r="G48" s="11">
        <v>321.5</v>
      </c>
    </row>
    <row r="49" spans="1:7" ht="13.5" outlineLevel="1">
      <c r="A49" s="12" t="s">
        <v>46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8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</row>
    <row r="51" spans="1:7" ht="13.5" outlineLevel="1">
      <c r="A51" s="12" t="s">
        <v>48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ht="13.5" outlineLevel="1">
      <c r="A52" s="10" t="s">
        <v>49</v>
      </c>
      <c r="B52" s="11">
        <v>0</v>
      </c>
      <c r="C52" s="11">
        <v>0</v>
      </c>
      <c r="D52" s="11">
        <v>0</v>
      </c>
      <c r="E52" s="11">
        <v>257.2</v>
      </c>
      <c r="F52" s="11">
        <v>0</v>
      </c>
      <c r="G52" s="11">
        <v>257.2</v>
      </c>
    </row>
    <row r="53" spans="1:7" ht="13.5" outlineLevel="1">
      <c r="A53" s="12" t="s">
        <v>50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ht="13.5" outlineLevel="1">
      <c r="A54" s="10" t="s">
        <v>51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</row>
    <row r="55" spans="1:7" ht="13.5" outlineLevel="1">
      <c r="A55" s="12" t="s">
        <v>52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s="7" customFormat="1" ht="15">
      <c r="A56" s="14" t="s">
        <v>43</v>
      </c>
      <c r="B56" s="15">
        <v>0</v>
      </c>
      <c r="C56" s="15">
        <v>0</v>
      </c>
      <c r="D56" s="15">
        <v>321.5</v>
      </c>
      <c r="E56" s="15">
        <v>412.8</v>
      </c>
      <c r="F56" s="15">
        <v>0</v>
      </c>
      <c r="G56" s="15">
        <v>734.3</v>
      </c>
    </row>
    <row r="57" spans="1:7" ht="13.5" outlineLevel="1">
      <c r="A57" s="12" t="s">
        <v>54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ht="13.5" outlineLevel="1">
      <c r="A58" s="10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</row>
    <row r="59" spans="1:7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s="8" customFormat="1" ht="15" outlineLevel="1">
      <c r="A60" s="10" t="s">
        <v>57</v>
      </c>
      <c r="B60" s="11">
        <v>0</v>
      </c>
      <c r="C60" s="11">
        <v>0</v>
      </c>
      <c r="D60" s="11">
        <v>0</v>
      </c>
      <c r="E60" s="11">
        <v>257.2</v>
      </c>
      <c r="F60" s="11">
        <v>96.45</v>
      </c>
      <c r="G60" s="11">
        <v>353.65</v>
      </c>
    </row>
    <row r="61" spans="1:7" ht="13.5" outlineLevel="1">
      <c r="A61" s="12" t="s">
        <v>58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ht="13.5" outlineLevel="1">
      <c r="A62" s="10" t="s">
        <v>59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</row>
    <row r="63" spans="1:7" s="7" customFormat="1" ht="15">
      <c r="A63" s="16" t="s">
        <v>53</v>
      </c>
      <c r="B63" s="17">
        <v>0</v>
      </c>
      <c r="C63" s="17">
        <v>0</v>
      </c>
      <c r="D63" s="17">
        <v>0</v>
      </c>
      <c r="E63" s="17">
        <v>257.2</v>
      </c>
      <c r="F63" s="17">
        <v>96.45</v>
      </c>
      <c r="G63" s="17">
        <v>353.65</v>
      </c>
    </row>
    <row r="64" spans="1:7" ht="13.5" outlineLevel="1">
      <c r="A64" s="10" t="s">
        <v>61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2" t="s">
        <v>62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ht="13.5" outlineLevel="1">
      <c r="A66" s="10" t="s">
        <v>63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</row>
    <row r="67" spans="1:7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s="8" customFormat="1" ht="15" outlineLevel="1">
      <c r="A68" s="10" t="s">
        <v>65</v>
      </c>
      <c r="B68" s="11">
        <v>0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</row>
    <row r="69" spans="1:7" ht="13.5" outlineLevel="1">
      <c r="A69" s="12" t="s">
        <v>66</v>
      </c>
      <c r="B69" s="13">
        <v>0</v>
      </c>
      <c r="C69" s="13">
        <v>420</v>
      </c>
      <c r="D69" s="13">
        <v>2100</v>
      </c>
      <c r="E69" s="13">
        <v>600</v>
      </c>
      <c r="F69" s="13">
        <v>360</v>
      </c>
      <c r="G69" s="13">
        <v>3480</v>
      </c>
    </row>
    <row r="70" spans="1:7" ht="13.5" outlineLevel="1">
      <c r="A70" s="10" t="s">
        <v>67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</row>
    <row r="71" spans="1:7" s="7" customFormat="1" ht="15">
      <c r="A71" s="14" t="s">
        <v>60</v>
      </c>
      <c r="B71" s="15">
        <v>0</v>
      </c>
      <c r="C71" s="15">
        <v>420</v>
      </c>
      <c r="D71" s="15">
        <v>2100</v>
      </c>
      <c r="E71" s="15">
        <v>600</v>
      </c>
      <c r="F71" s="15">
        <v>360</v>
      </c>
      <c r="G71" s="15">
        <v>3480</v>
      </c>
    </row>
    <row r="72" spans="1:7" ht="13.5" outlineLevel="1">
      <c r="A72" s="10" t="s">
        <v>69</v>
      </c>
      <c r="B72" s="11">
        <v>0</v>
      </c>
      <c r="C72" s="11">
        <v>0</v>
      </c>
      <c r="D72" s="11">
        <v>0</v>
      </c>
      <c r="E72" s="11">
        <v>0</v>
      </c>
      <c r="F72" s="11">
        <v>192.9</v>
      </c>
      <c r="G72" s="11">
        <v>192.9</v>
      </c>
    </row>
    <row r="73" spans="1:7" ht="13.5" outlineLevel="1">
      <c r="A73" s="12" t="s">
        <v>70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ht="13.5" outlineLevel="1">
      <c r="A74" s="10" t="s">
        <v>71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</row>
    <row r="75" spans="1:7" ht="13.5" outlineLevel="1">
      <c r="A75" s="12" t="s">
        <v>72</v>
      </c>
      <c r="B75" s="13">
        <v>0</v>
      </c>
      <c r="C75" s="13">
        <v>230.88</v>
      </c>
      <c r="D75" s="13">
        <v>0</v>
      </c>
      <c r="E75" s="13">
        <v>0</v>
      </c>
      <c r="F75" s="13">
        <v>0</v>
      </c>
      <c r="G75" s="13">
        <v>230.88</v>
      </c>
    </row>
    <row r="76" spans="1:7" s="7" customFormat="1" ht="15">
      <c r="A76" s="16" t="s">
        <v>68</v>
      </c>
      <c r="B76" s="17">
        <v>0</v>
      </c>
      <c r="C76" s="17">
        <v>230.88</v>
      </c>
      <c r="D76" s="17">
        <v>0</v>
      </c>
      <c r="E76" s="17">
        <v>0</v>
      </c>
      <c r="F76" s="17">
        <v>192.9</v>
      </c>
      <c r="G76" s="17">
        <v>423.78</v>
      </c>
    </row>
    <row r="77" spans="1:7" ht="13.5" outlineLevel="1">
      <c r="A77" s="12" t="s">
        <v>74</v>
      </c>
      <c r="B77" s="13">
        <v>0</v>
      </c>
      <c r="C77" s="13">
        <v>0</v>
      </c>
      <c r="D77" s="13">
        <v>103.11</v>
      </c>
      <c r="E77" s="13">
        <v>75</v>
      </c>
      <c r="F77" s="13">
        <v>143.65</v>
      </c>
      <c r="G77" s="13">
        <v>321.76</v>
      </c>
    </row>
    <row r="78" spans="1:7" ht="13.5" outlineLevel="1">
      <c r="A78" s="10" t="s">
        <v>75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0" t="s">
        <v>77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</row>
    <row r="81" spans="1:7" ht="13.5" outlineLevel="1">
      <c r="A81" s="12" t="s">
        <v>78</v>
      </c>
      <c r="B81" s="13">
        <v>0</v>
      </c>
      <c r="C81" s="13">
        <v>0</v>
      </c>
      <c r="D81" s="13">
        <v>1.7</v>
      </c>
      <c r="E81" s="13">
        <v>0</v>
      </c>
      <c r="F81" s="13">
        <v>0</v>
      </c>
      <c r="G81" s="13">
        <v>1.7</v>
      </c>
    </row>
    <row r="82" spans="1:7" s="8" customFormat="1" ht="15" outlineLevel="1">
      <c r="A82" s="10" t="s">
        <v>79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</row>
    <row r="83" spans="1:7" s="7" customFormat="1" ht="15">
      <c r="A83" s="16" t="s">
        <v>73</v>
      </c>
      <c r="B83" s="17">
        <v>0</v>
      </c>
      <c r="C83" s="17">
        <v>0</v>
      </c>
      <c r="D83" s="17">
        <v>104.81</v>
      </c>
      <c r="E83" s="17">
        <v>75</v>
      </c>
      <c r="F83" s="17">
        <v>143.65</v>
      </c>
      <c r="G83" s="17">
        <v>323.45999999999998</v>
      </c>
    </row>
    <row r="84" spans="1:7" ht="13.5">
      <c r="A84" s="18" t="s">
        <v>82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</row>
    <row r="85" spans="1:7" ht="13.5">
      <c r="A85" s="22" t="s">
        <v>80</v>
      </c>
      <c r="B85" s="26">
        <f t="shared" ref="B85:G85" si="0">SUM(B4:B84)/2</f>
        <v>586.59</v>
      </c>
      <c r="C85" s="23">
        <f t="shared" si="0"/>
        <v>7660.15</v>
      </c>
      <c r="D85" s="23">
        <f t="shared" si="0"/>
        <v>22408.539999999997</v>
      </c>
      <c r="E85" s="23">
        <f t="shared" si="0"/>
        <v>20588.139999999996</v>
      </c>
      <c r="F85" s="23">
        <f t="shared" si="0"/>
        <v>12426.630000000005</v>
      </c>
      <c r="G85" s="23">
        <f t="shared" si="0"/>
        <v>63670.050000000054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2025-12-25T13:41:40Z</dcterms:modified>
</cp:coreProperties>
</file>