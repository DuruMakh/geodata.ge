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kaladze\Downloads\"/>
    </mc:Choice>
  </mc:AlternateContent>
  <xr:revisionPtr revIDLastSave="0" documentId="13_ncr:1_{2382D0D9-C442-4E23-867E-85758860C0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80" r:id="rId10"/>
    <sheet name="November" sheetId="81" r:id="rId11"/>
    <sheet name="December" sheetId="82" r:id="rId12"/>
  </sheets>
  <definedNames>
    <definedName name="_xlnm.Print_Area" localSheetId="3">April!$A$1:$AB$13</definedName>
    <definedName name="_xlnm.Print_Area" localSheetId="7">August!$A$1:$AB$13</definedName>
    <definedName name="_xlnm.Print_Area" localSheetId="11">December!$A$1:$AB$13</definedName>
    <definedName name="_xlnm.Print_Area" localSheetId="1">February!$A$1:$AB$13</definedName>
    <definedName name="_xlnm.Print_Area" localSheetId="0">January!$A$1:$AB$13</definedName>
    <definedName name="_xlnm.Print_Area" localSheetId="6">July!$A$1:$AB$13</definedName>
    <definedName name="_xlnm.Print_Area" localSheetId="5">June!$A$1:$AB$13</definedName>
    <definedName name="_xlnm.Print_Area" localSheetId="2">March!$A$1:$AB$13</definedName>
    <definedName name="_xlnm.Print_Area" localSheetId="4">May!$A$1:$AB$13</definedName>
    <definedName name="_xlnm.Print_Area" localSheetId="10">November!$A$1:$AB$13</definedName>
    <definedName name="_xlnm.Print_Area" localSheetId="9">October!$A$1:$AB$13</definedName>
    <definedName name="_xlnm.Print_Area" localSheetId="8">September!$A$1:$AB$13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2" i="82" l="1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B12" i="82"/>
  <c r="AB12" i="81" l="1"/>
  <c r="AA12" i="8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B12" i="81"/>
  <c r="AB12" i="80" l="1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B12" i="80"/>
  <c r="AB12" i="78" l="1"/>
  <c r="AA12" i="78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C12" i="78"/>
  <c r="B12" i="78"/>
  <c r="B12" i="77" l="1"/>
  <c r="AB12" i="77"/>
  <c r="AA12" i="77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AB12" i="76" l="1"/>
  <c r="B12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AB12" i="75" l="1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B12" i="75"/>
  <c r="I12" i="74" l="1"/>
  <c r="Q12" i="74"/>
  <c r="C12" i="74"/>
  <c r="D12" i="74"/>
  <c r="E12" i="74"/>
  <c r="F12" i="74"/>
  <c r="G12" i="74"/>
  <c r="H12" i="74"/>
  <c r="J12" i="74"/>
  <c r="K12" i="74"/>
  <c r="L12" i="74"/>
  <c r="M12" i="74"/>
  <c r="N12" i="74"/>
  <c r="O12" i="74"/>
  <c r="P12" i="74"/>
  <c r="R12" i="74"/>
  <c r="S12" i="74"/>
  <c r="T12" i="74"/>
  <c r="U12" i="74"/>
  <c r="V12" i="74"/>
  <c r="W12" i="74"/>
  <c r="X12" i="74"/>
  <c r="Y12" i="74"/>
  <c r="Z12" i="74"/>
  <c r="AA12" i="74"/>
  <c r="AB12" i="74"/>
  <c r="B12" i="74"/>
  <c r="C12" i="73" l="1"/>
  <c r="D12" i="73"/>
  <c r="E12" i="73"/>
  <c r="F12" i="73"/>
  <c r="G12" i="73"/>
  <c r="H12" i="73"/>
  <c r="I12" i="73"/>
  <c r="J12" i="73"/>
  <c r="K12" i="73"/>
  <c r="L12" i="73"/>
  <c r="M12" i="73"/>
  <c r="N12" i="73"/>
  <c r="O12" i="73"/>
  <c r="P12" i="73"/>
  <c r="Q12" i="73"/>
  <c r="R12" i="73"/>
  <c r="S12" i="73"/>
  <c r="T12" i="73"/>
  <c r="U12" i="73"/>
  <c r="V12" i="73"/>
  <c r="W12" i="73"/>
  <c r="X12" i="73"/>
  <c r="Y12" i="73"/>
  <c r="Z12" i="73"/>
  <c r="AA12" i="73"/>
  <c r="AB12" i="73"/>
  <c r="B12" i="73"/>
</calcChain>
</file>

<file path=xl/sharedStrings.xml><?xml version="1.0" encoding="utf-8"?>
<sst xmlns="http://schemas.openxmlformats.org/spreadsheetml/2006/main" count="180" uniqueCount="13">
  <si>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</si>
  <si>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</si>
  <si>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</si>
  <si>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სხვა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</si>
  <si>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</si>
  <si>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</si>
  <si>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 xml:space="preserve">პოლიტ. რეპრესირებულები 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</si>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</sst>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</cellStyleXfs>
  <cellXfs count="15">
    <xf numFmtId="0" fontId="0" fillId="0" borderId="0" xfId="0"/>
    <xf numFmtId="164" fontId="2" fillId="2" borderId="0" xfId="1" applyNumberFormat="1" applyFont="1" applyFill="1"/>
    <xf numFmtId="164" fontId="1" fillId="2" borderId="0" xfId="1" applyNumberFormat="1" applyFill="1"/>
    <xf numFmtId="164" fontId="1" fillId="2" borderId="0" xfId="1" applyNumberFormat="1" applyFont="1" applyFill="1"/>
    <xf numFmtId="164" fontId="6" fillId="2" borderId="0" xfId="1" applyNumberFormat="1" applyFont="1" applyFill="1" applyAlignment="1">
      <alignment horizontal="right" vertical="center"/>
    </xf>
    <xf numFmtId="164" fontId="4" fillId="3" borderId="2" xfId="2" applyNumberFormat="1" applyFont="1" applyFill="1" applyBorder="1" applyAlignment="1">
      <alignment horizontal="center" vertical="center" wrapText="1"/>
    </xf>
    <xf numFmtId="164" fontId="5" fillId="3" borderId="0" xfId="2" applyNumberFormat="1" applyFont="1" applyFill="1" applyBorder="1" applyAlignment="1"/>
    <xf numFmtId="164" fontId="5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centerContinuous" vertical="center" wrapText="1"/>
    </xf>
    <xf numFmtId="164" fontId="7" fillId="4" borderId="0" xfId="0" applyNumberFormat="1" applyFont="1" applyFill="1" applyBorder="1" applyAlignment="1">
      <alignment horizontal="centerContinuous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0</xdr:row>
      <xdr:rowOff>57150</xdr:rowOff>
    </xdr:from>
    <xdr:to>
      <xdr:col>8</xdr:col>
      <xdr:colOff>676275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0</xdr:row>
      <xdr:rowOff>47625</xdr:rowOff>
    </xdr:from>
    <xdr:to>
      <xdr:col>8</xdr:col>
      <xdr:colOff>685800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view="pageBreakPreview" topLeftCell="J1" zoomScaleSheetLayoutView="100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0.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13770</v>
      </c>
      <c r="W4" s="7">
        <v>0</v>
      </c>
      <c r="X4" s="7">
        <v>9</v>
      </c>
      <c r="Y4" s="7">
        <v>0</v>
      </c>
      <c r="Z4" s="7">
        <v>0</v>
      </c>
      <c r="AA4" s="7">
        <v>1</v>
      </c>
      <c r="AB4" s="8">
        <v>13780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187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28499</v>
      </c>
      <c r="W5" s="7">
        <v>87</v>
      </c>
      <c r="X5" s="7">
        <v>430</v>
      </c>
      <c r="Y5" s="7">
        <v>8</v>
      </c>
      <c r="Z5" s="7">
        <v>47</v>
      </c>
      <c r="AA5" s="7">
        <v>0</v>
      </c>
      <c r="AB5" s="8">
        <v>29259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1891</v>
      </c>
      <c r="K6" s="7">
        <v>0</v>
      </c>
      <c r="L6" s="7">
        <v>0</v>
      </c>
      <c r="M6" s="7">
        <v>0</v>
      </c>
      <c r="N6" s="7">
        <v>68375</v>
      </c>
      <c r="O6" s="7">
        <v>0</v>
      </c>
      <c r="P6" s="7">
        <v>250</v>
      </c>
      <c r="Q6" s="7">
        <v>1640</v>
      </c>
      <c r="R6" s="7">
        <v>6</v>
      </c>
      <c r="S6" s="7">
        <v>37</v>
      </c>
      <c r="T6" s="7">
        <v>323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72532</v>
      </c>
    </row>
    <row r="7" spans="1:28" ht="13.5">
      <c r="A7" s="6" t="s">
        <v>10</v>
      </c>
      <c r="B7" s="7">
        <v>1</v>
      </c>
      <c r="C7" s="7">
        <v>2</v>
      </c>
      <c r="D7" s="7">
        <v>13</v>
      </c>
      <c r="E7" s="7">
        <v>9</v>
      </c>
      <c r="F7" s="7">
        <v>0</v>
      </c>
      <c r="G7" s="7">
        <v>3718</v>
      </c>
      <c r="H7" s="7">
        <v>71</v>
      </c>
      <c r="I7" s="7">
        <v>788</v>
      </c>
      <c r="J7" s="7">
        <v>5466</v>
      </c>
      <c r="K7" s="7">
        <v>0</v>
      </c>
      <c r="L7" s="7">
        <v>0</v>
      </c>
      <c r="M7" s="7">
        <v>24</v>
      </c>
      <c r="N7" s="7">
        <v>0</v>
      </c>
      <c r="O7" s="7">
        <v>372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22</v>
      </c>
      <c r="AB7" s="8">
        <v>10486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21083</v>
      </c>
      <c r="K8" s="7">
        <v>0</v>
      </c>
      <c r="L8" s="7">
        <v>398</v>
      </c>
      <c r="M8" s="7">
        <v>0</v>
      </c>
      <c r="N8" s="7">
        <v>0</v>
      </c>
      <c r="O8" s="7">
        <v>7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21488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48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49</v>
      </c>
    </row>
    <row r="10" spans="1:28" ht="13.5">
      <c r="A10" s="6" t="s">
        <v>5</v>
      </c>
      <c r="B10" s="7">
        <v>15</v>
      </c>
      <c r="C10" s="7">
        <v>2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7888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7916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23029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23029</v>
      </c>
    </row>
    <row r="12" spans="1:28" ht="13.5">
      <c r="A12" s="6" t="s">
        <v>3</v>
      </c>
      <c r="B12" s="7">
        <v>2</v>
      </c>
      <c r="C12" s="7">
        <v>283</v>
      </c>
      <c r="D12" s="7">
        <v>4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8">
        <v>290</v>
      </c>
    </row>
    <row r="13" spans="1:28" ht="13.5">
      <c r="A13" s="9" t="s">
        <v>1</v>
      </c>
      <c r="B13" s="10">
        <v>22</v>
      </c>
      <c r="C13" s="10">
        <v>290</v>
      </c>
      <c r="D13" s="10">
        <v>25</v>
      </c>
      <c r="E13" s="10">
        <v>9</v>
      </c>
      <c r="F13" s="10">
        <v>0</v>
      </c>
      <c r="G13" s="10">
        <v>3718</v>
      </c>
      <c r="H13" s="10">
        <v>71</v>
      </c>
      <c r="I13" s="10">
        <v>789</v>
      </c>
      <c r="J13" s="10">
        <v>59544</v>
      </c>
      <c r="K13" s="10">
        <v>48</v>
      </c>
      <c r="L13" s="10">
        <v>399</v>
      </c>
      <c r="M13" s="10">
        <v>24</v>
      </c>
      <c r="N13" s="10">
        <v>68375</v>
      </c>
      <c r="O13" s="10">
        <v>383</v>
      </c>
      <c r="P13" s="10">
        <v>250</v>
      </c>
      <c r="Q13" s="10">
        <v>1640</v>
      </c>
      <c r="R13" s="10">
        <v>6</v>
      </c>
      <c r="S13" s="10">
        <v>37</v>
      </c>
      <c r="T13" s="10">
        <v>323</v>
      </c>
      <c r="U13" s="10">
        <v>3</v>
      </c>
      <c r="V13" s="10">
        <v>42269</v>
      </c>
      <c r="W13" s="10">
        <v>87</v>
      </c>
      <c r="X13" s="10">
        <v>439</v>
      </c>
      <c r="Y13" s="10">
        <v>8</v>
      </c>
      <c r="Z13" s="10">
        <v>47</v>
      </c>
      <c r="AA13" s="10">
        <v>23</v>
      </c>
      <c r="AB13" s="10">
        <v>178829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view="pageBreakPreview" topLeftCell="G1" zoomScaleSheetLayoutView="100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13915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13924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28519</v>
      </c>
      <c r="W5" s="7">
        <v>87</v>
      </c>
      <c r="X5" s="7">
        <v>428</v>
      </c>
      <c r="Y5" s="7">
        <v>8</v>
      </c>
      <c r="Z5" s="7">
        <v>45</v>
      </c>
      <c r="AA5" s="7">
        <v>0</v>
      </c>
      <c r="AB5" s="8">
        <v>29278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1880</v>
      </c>
      <c r="K6" s="7">
        <v>0</v>
      </c>
      <c r="L6" s="7">
        <v>0</v>
      </c>
      <c r="M6" s="7">
        <v>0</v>
      </c>
      <c r="N6" s="7">
        <v>68491</v>
      </c>
      <c r="O6" s="7">
        <v>0</v>
      </c>
      <c r="P6" s="7">
        <v>246</v>
      </c>
      <c r="Q6" s="7">
        <v>1651</v>
      </c>
      <c r="R6" s="7">
        <v>5</v>
      </c>
      <c r="S6" s="7">
        <v>36</v>
      </c>
      <c r="T6" s="7">
        <v>324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72643</v>
      </c>
    </row>
    <row r="7" spans="1:28" ht="13.5">
      <c r="A7" s="6" t="s">
        <v>10</v>
      </c>
      <c r="B7" s="7">
        <v>1</v>
      </c>
      <c r="C7" s="7">
        <v>2</v>
      </c>
      <c r="D7" s="7">
        <v>15</v>
      </c>
      <c r="E7" s="7">
        <v>9</v>
      </c>
      <c r="F7" s="7">
        <v>0</v>
      </c>
      <c r="G7" s="7">
        <v>3687</v>
      </c>
      <c r="H7" s="7">
        <v>72</v>
      </c>
      <c r="I7" s="7">
        <v>780</v>
      </c>
      <c r="J7" s="7">
        <v>5464</v>
      </c>
      <c r="K7" s="7">
        <v>0</v>
      </c>
      <c r="L7" s="7">
        <v>0</v>
      </c>
      <c r="M7" s="7">
        <v>24</v>
      </c>
      <c r="N7" s="7">
        <v>0</v>
      </c>
      <c r="O7" s="7">
        <v>370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22</v>
      </c>
      <c r="AB7" s="8">
        <v>10446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21044</v>
      </c>
      <c r="K8" s="7">
        <v>0</v>
      </c>
      <c r="L8" s="7">
        <v>394</v>
      </c>
      <c r="M8" s="7">
        <v>0</v>
      </c>
      <c r="N8" s="7">
        <v>0</v>
      </c>
      <c r="O8" s="7">
        <v>7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21445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47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48</v>
      </c>
    </row>
    <row r="10" spans="1:28" ht="13.5">
      <c r="A10" s="6" t="s">
        <v>5</v>
      </c>
      <c r="B10" s="7">
        <v>15</v>
      </c>
      <c r="C10" s="7">
        <v>2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7884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7912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23155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23155</v>
      </c>
    </row>
    <row r="12" spans="1:28" ht="13.5">
      <c r="A12" s="6" t="s">
        <v>3</v>
      </c>
      <c r="B12" s="7">
        <v>2</v>
      </c>
      <c r="C12" s="7">
        <v>283</v>
      </c>
      <c r="D12" s="7">
        <v>4</v>
      </c>
      <c r="E12" s="7">
        <v>0</v>
      </c>
      <c r="F12" s="7">
        <v>0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8">
        <v>290</v>
      </c>
    </row>
    <row r="13" spans="1:28" ht="13.5">
      <c r="A13" s="11" t="s">
        <v>1</v>
      </c>
      <c r="B13" s="12">
        <v>22</v>
      </c>
      <c r="C13" s="12">
        <v>290</v>
      </c>
      <c r="D13" s="12">
        <v>27</v>
      </c>
      <c r="E13" s="12">
        <v>9</v>
      </c>
      <c r="F13" s="12">
        <v>0</v>
      </c>
      <c r="G13" s="12">
        <v>3687</v>
      </c>
      <c r="H13" s="12">
        <v>72</v>
      </c>
      <c r="I13" s="12">
        <v>781</v>
      </c>
      <c r="J13" s="12">
        <v>59617</v>
      </c>
      <c r="K13" s="12">
        <v>47</v>
      </c>
      <c r="L13" s="12">
        <v>395</v>
      </c>
      <c r="M13" s="12">
        <v>24</v>
      </c>
      <c r="N13" s="12">
        <v>68491</v>
      </c>
      <c r="O13" s="12">
        <v>381</v>
      </c>
      <c r="P13" s="12">
        <v>246</v>
      </c>
      <c r="Q13" s="12">
        <v>1651</v>
      </c>
      <c r="R13" s="12">
        <v>5</v>
      </c>
      <c r="S13" s="12">
        <v>36</v>
      </c>
      <c r="T13" s="12">
        <v>324</v>
      </c>
      <c r="U13" s="12">
        <v>3</v>
      </c>
      <c r="V13" s="12">
        <v>42434</v>
      </c>
      <c r="W13" s="12">
        <v>87</v>
      </c>
      <c r="X13" s="12">
        <v>437</v>
      </c>
      <c r="Y13" s="12">
        <v>8</v>
      </c>
      <c r="Z13" s="12">
        <v>45</v>
      </c>
      <c r="AA13" s="12">
        <v>22</v>
      </c>
      <c r="AB13" s="12">
        <v>179141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view="pageBreakPreview" topLeftCell="H1" zoomScale="106" zoomScaleSheetLayoutView="106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13990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13999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28643</v>
      </c>
      <c r="W5" s="7">
        <v>85</v>
      </c>
      <c r="X5" s="7">
        <v>426</v>
      </c>
      <c r="Y5" s="7">
        <v>8</v>
      </c>
      <c r="Z5" s="7">
        <v>45</v>
      </c>
      <c r="AA5" s="7">
        <v>0</v>
      </c>
      <c r="AB5" s="8">
        <v>29400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1873</v>
      </c>
      <c r="K6" s="7">
        <v>0</v>
      </c>
      <c r="L6" s="7">
        <v>0</v>
      </c>
      <c r="M6" s="7">
        <v>0</v>
      </c>
      <c r="N6" s="7">
        <v>68528</v>
      </c>
      <c r="O6" s="7">
        <v>0</v>
      </c>
      <c r="P6" s="7">
        <v>244</v>
      </c>
      <c r="Q6" s="7">
        <v>1657</v>
      </c>
      <c r="R6" s="7">
        <v>6</v>
      </c>
      <c r="S6" s="7">
        <v>36</v>
      </c>
      <c r="T6" s="7">
        <v>325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72679</v>
      </c>
    </row>
    <row r="7" spans="1:28" ht="13.5">
      <c r="A7" s="6" t="s">
        <v>10</v>
      </c>
      <c r="B7" s="7">
        <v>1</v>
      </c>
      <c r="C7" s="7">
        <v>2</v>
      </c>
      <c r="D7" s="7">
        <v>15</v>
      </c>
      <c r="E7" s="7">
        <v>10</v>
      </c>
      <c r="F7" s="7">
        <v>0</v>
      </c>
      <c r="G7" s="7">
        <v>3634</v>
      </c>
      <c r="H7" s="7">
        <v>71</v>
      </c>
      <c r="I7" s="7">
        <v>771</v>
      </c>
      <c r="J7" s="7">
        <v>5475</v>
      </c>
      <c r="K7" s="7">
        <v>0</v>
      </c>
      <c r="L7" s="7">
        <v>0</v>
      </c>
      <c r="M7" s="7">
        <v>24</v>
      </c>
      <c r="N7" s="7">
        <v>0</v>
      </c>
      <c r="O7" s="7">
        <v>366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10390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21049</v>
      </c>
      <c r="K8" s="7">
        <v>0</v>
      </c>
      <c r="L8" s="7">
        <v>395</v>
      </c>
      <c r="M8" s="7">
        <v>0</v>
      </c>
      <c r="N8" s="7">
        <v>0</v>
      </c>
      <c r="O8" s="7">
        <v>7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21451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47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48</v>
      </c>
    </row>
    <row r="10" spans="1:28" ht="13.5">
      <c r="A10" s="6" t="s">
        <v>5</v>
      </c>
      <c r="B10" s="7">
        <v>15</v>
      </c>
      <c r="C10" s="7">
        <v>2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7880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7908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23281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23281</v>
      </c>
    </row>
    <row r="12" spans="1:28" ht="13.5">
      <c r="A12" s="6" t="s">
        <v>3</v>
      </c>
      <c r="B12" s="7">
        <v>2</v>
      </c>
      <c r="C12" s="7">
        <v>283</v>
      </c>
      <c r="D12" s="7">
        <v>4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291</v>
      </c>
    </row>
    <row r="13" spans="1:28" ht="13.5">
      <c r="A13" s="11" t="s">
        <v>1</v>
      </c>
      <c r="B13" s="12">
        <v>22</v>
      </c>
      <c r="C13" s="12">
        <v>290</v>
      </c>
      <c r="D13" s="12">
        <v>27</v>
      </c>
      <c r="E13" s="12">
        <v>10</v>
      </c>
      <c r="F13" s="12">
        <v>0</v>
      </c>
      <c r="G13" s="12">
        <v>3635</v>
      </c>
      <c r="H13" s="12">
        <v>71</v>
      </c>
      <c r="I13" s="12">
        <v>772</v>
      </c>
      <c r="J13" s="12">
        <v>59750</v>
      </c>
      <c r="K13" s="12">
        <v>47</v>
      </c>
      <c r="L13" s="12">
        <v>396</v>
      </c>
      <c r="M13" s="12">
        <v>24</v>
      </c>
      <c r="N13" s="12">
        <v>68528</v>
      </c>
      <c r="O13" s="12">
        <v>377</v>
      </c>
      <c r="P13" s="12">
        <v>244</v>
      </c>
      <c r="Q13" s="12">
        <v>1657</v>
      </c>
      <c r="R13" s="12">
        <v>6</v>
      </c>
      <c r="S13" s="12">
        <v>36</v>
      </c>
      <c r="T13" s="12">
        <v>325</v>
      </c>
      <c r="U13" s="12">
        <v>3</v>
      </c>
      <c r="V13" s="12">
        <v>42633</v>
      </c>
      <c r="W13" s="12">
        <v>85</v>
      </c>
      <c r="X13" s="12">
        <v>435</v>
      </c>
      <c r="Y13" s="12">
        <v>8</v>
      </c>
      <c r="Z13" s="12">
        <v>45</v>
      </c>
      <c r="AA13" s="12">
        <v>21</v>
      </c>
      <c r="AB13" s="12">
        <v>179447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view="pageBreakPreview" topLeftCell="J1" zoomScale="112" zoomScaleSheetLayoutView="112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14208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14217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1</v>
      </c>
      <c r="H5" s="7">
        <v>0</v>
      </c>
      <c r="I5" s="7">
        <v>0</v>
      </c>
      <c r="J5" s="7">
        <v>193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28725</v>
      </c>
      <c r="W5" s="7">
        <v>85</v>
      </c>
      <c r="X5" s="7">
        <v>432</v>
      </c>
      <c r="Y5" s="7">
        <v>8</v>
      </c>
      <c r="Z5" s="7">
        <v>44</v>
      </c>
      <c r="AA5" s="7">
        <v>0</v>
      </c>
      <c r="AB5" s="8">
        <v>29489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1861</v>
      </c>
      <c r="K6" s="7">
        <v>0</v>
      </c>
      <c r="L6" s="7">
        <v>0</v>
      </c>
      <c r="M6" s="7">
        <v>0</v>
      </c>
      <c r="N6" s="7">
        <v>68253</v>
      </c>
      <c r="O6" s="7">
        <v>0</v>
      </c>
      <c r="P6" s="7">
        <v>241</v>
      </c>
      <c r="Q6" s="7">
        <v>1629</v>
      </c>
      <c r="R6" s="7">
        <v>6</v>
      </c>
      <c r="S6" s="7">
        <v>37</v>
      </c>
      <c r="T6" s="7">
        <v>320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72357</v>
      </c>
    </row>
    <row r="7" spans="1:28" ht="13.5">
      <c r="A7" s="6" t="s">
        <v>10</v>
      </c>
      <c r="B7" s="7">
        <v>1</v>
      </c>
      <c r="C7" s="7">
        <v>2</v>
      </c>
      <c r="D7" s="7">
        <v>16</v>
      </c>
      <c r="E7" s="7">
        <v>10</v>
      </c>
      <c r="F7" s="7">
        <v>0</v>
      </c>
      <c r="G7" s="7">
        <v>3600</v>
      </c>
      <c r="H7" s="7">
        <v>72</v>
      </c>
      <c r="I7" s="7">
        <v>766</v>
      </c>
      <c r="J7" s="7">
        <v>5500</v>
      </c>
      <c r="K7" s="7">
        <v>0</v>
      </c>
      <c r="L7" s="7">
        <v>0</v>
      </c>
      <c r="M7" s="7">
        <v>24</v>
      </c>
      <c r="N7" s="7">
        <v>0</v>
      </c>
      <c r="O7" s="7">
        <v>364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10376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21043</v>
      </c>
      <c r="K8" s="7">
        <v>0</v>
      </c>
      <c r="L8" s="7">
        <v>394</v>
      </c>
      <c r="M8" s="7">
        <v>0</v>
      </c>
      <c r="N8" s="7">
        <v>0</v>
      </c>
      <c r="O8" s="7">
        <v>6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21443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45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46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7899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7925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23404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23404</v>
      </c>
    </row>
    <row r="12" spans="1:28" ht="13.5">
      <c r="A12" s="6" t="s">
        <v>3</v>
      </c>
      <c r="B12" s="7">
        <f>B13-SUM(B4:B11)</f>
        <v>2</v>
      </c>
      <c r="C12" s="7">
        <f t="shared" ref="C12:AB12" si="0">C13-SUM(C4:C11)</f>
        <v>276</v>
      </c>
      <c r="D12" s="7">
        <f t="shared" si="0"/>
        <v>4</v>
      </c>
      <c r="E12" s="7">
        <f t="shared" si="0"/>
        <v>0</v>
      </c>
      <c r="F12" s="7">
        <f t="shared" si="0"/>
        <v>0</v>
      </c>
      <c r="G12" s="7">
        <f t="shared" si="0"/>
        <v>1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 t="shared" si="0"/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 t="shared" si="0"/>
        <v>284</v>
      </c>
    </row>
    <row r="13" spans="1:28" ht="13.5">
      <c r="A13" s="11" t="s">
        <v>1</v>
      </c>
      <c r="B13" s="12">
        <v>21</v>
      </c>
      <c r="C13" s="12">
        <v>283</v>
      </c>
      <c r="D13" s="12">
        <v>27</v>
      </c>
      <c r="E13" s="12">
        <v>10</v>
      </c>
      <c r="F13" s="12">
        <v>0</v>
      </c>
      <c r="G13" s="12">
        <v>3602</v>
      </c>
      <c r="H13" s="12">
        <v>72</v>
      </c>
      <c r="I13" s="12">
        <v>767</v>
      </c>
      <c r="J13" s="12">
        <v>59900</v>
      </c>
      <c r="K13" s="12">
        <v>45</v>
      </c>
      <c r="L13" s="12">
        <v>395</v>
      </c>
      <c r="M13" s="12">
        <v>24</v>
      </c>
      <c r="N13" s="12">
        <v>68253</v>
      </c>
      <c r="O13" s="12">
        <v>374</v>
      </c>
      <c r="P13" s="12">
        <v>241</v>
      </c>
      <c r="Q13" s="12">
        <v>1629</v>
      </c>
      <c r="R13" s="12">
        <v>6</v>
      </c>
      <c r="S13" s="12">
        <v>37</v>
      </c>
      <c r="T13" s="12">
        <v>320</v>
      </c>
      <c r="U13" s="12">
        <v>3</v>
      </c>
      <c r="V13" s="12">
        <v>42933</v>
      </c>
      <c r="W13" s="12">
        <v>85</v>
      </c>
      <c r="X13" s="12">
        <v>441</v>
      </c>
      <c r="Y13" s="12">
        <v>8</v>
      </c>
      <c r="Z13" s="12">
        <v>44</v>
      </c>
      <c r="AA13" s="12">
        <v>21</v>
      </c>
      <c r="AB13" s="12">
        <v>179541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ignoredErrors>
    <ignoredError sqref="B12:AB12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view="pageBreakPreview" topLeftCell="G1" zoomScale="98" zoomScaleSheetLayoutView="98" workbookViewId="0">
      <selection activeCell="B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14305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14314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28843</v>
      </c>
      <c r="W5" s="7">
        <v>86</v>
      </c>
      <c r="X5" s="7">
        <v>437</v>
      </c>
      <c r="Y5" s="7">
        <v>8</v>
      </c>
      <c r="Z5" s="7">
        <v>43</v>
      </c>
      <c r="AA5" s="7">
        <v>0</v>
      </c>
      <c r="AB5" s="8">
        <v>29610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1857</v>
      </c>
      <c r="K6" s="7">
        <v>0</v>
      </c>
      <c r="L6" s="7">
        <v>0</v>
      </c>
      <c r="M6" s="7">
        <v>0</v>
      </c>
      <c r="N6" s="7">
        <v>68471</v>
      </c>
      <c r="O6" s="7">
        <v>0</v>
      </c>
      <c r="P6" s="7">
        <v>240</v>
      </c>
      <c r="Q6" s="7">
        <v>1630</v>
      </c>
      <c r="R6" s="7">
        <v>5</v>
      </c>
      <c r="S6" s="7">
        <v>36</v>
      </c>
      <c r="T6" s="7">
        <v>319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72568</v>
      </c>
    </row>
    <row r="7" spans="1:28" ht="13.5">
      <c r="A7" s="6" t="s">
        <v>10</v>
      </c>
      <c r="B7" s="7">
        <v>1</v>
      </c>
      <c r="C7" s="7">
        <v>2</v>
      </c>
      <c r="D7" s="7">
        <v>16</v>
      </c>
      <c r="E7" s="7">
        <v>10</v>
      </c>
      <c r="F7" s="7">
        <v>0</v>
      </c>
      <c r="G7" s="7">
        <v>3558</v>
      </c>
      <c r="H7" s="7">
        <v>72</v>
      </c>
      <c r="I7" s="7">
        <v>759</v>
      </c>
      <c r="J7" s="7">
        <v>5516</v>
      </c>
      <c r="K7" s="7">
        <v>0</v>
      </c>
      <c r="L7" s="7">
        <v>0</v>
      </c>
      <c r="M7" s="7">
        <v>24</v>
      </c>
      <c r="N7" s="7">
        <v>0</v>
      </c>
      <c r="O7" s="7">
        <v>362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10341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20961</v>
      </c>
      <c r="K8" s="7">
        <v>0</v>
      </c>
      <c r="L8" s="7">
        <v>399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21364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43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44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7903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7929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23427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23427</v>
      </c>
    </row>
    <row r="12" spans="1:28" ht="13.5">
      <c r="A12" s="6" t="s">
        <v>3</v>
      </c>
      <c r="B12" s="7">
        <f>B13-SUM(B4:B11)</f>
        <v>2</v>
      </c>
      <c r="C12" s="7">
        <f t="shared" ref="C12:AB12" si="0">C13-SUM(C4:C11)</f>
        <v>268</v>
      </c>
      <c r="D12" s="7">
        <f t="shared" si="0"/>
        <v>4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 t="shared" si="0"/>
        <v>275</v>
      </c>
    </row>
    <row r="13" spans="1:28" ht="13.5">
      <c r="A13" s="11" t="s">
        <v>1</v>
      </c>
      <c r="B13" s="12">
        <v>21</v>
      </c>
      <c r="C13" s="12">
        <v>275</v>
      </c>
      <c r="D13" s="12">
        <v>27</v>
      </c>
      <c r="E13" s="12">
        <v>10</v>
      </c>
      <c r="F13" s="12">
        <v>0</v>
      </c>
      <c r="G13" s="12">
        <v>3558</v>
      </c>
      <c r="H13" s="12">
        <v>72</v>
      </c>
      <c r="I13" s="12">
        <v>760</v>
      </c>
      <c r="J13" s="12">
        <v>59856</v>
      </c>
      <c r="K13" s="12">
        <v>43</v>
      </c>
      <c r="L13" s="12">
        <v>400</v>
      </c>
      <c r="M13" s="12">
        <v>24</v>
      </c>
      <c r="N13" s="12">
        <v>68471</v>
      </c>
      <c r="O13" s="12">
        <v>370</v>
      </c>
      <c r="P13" s="12">
        <v>240</v>
      </c>
      <c r="Q13" s="12">
        <v>1630</v>
      </c>
      <c r="R13" s="12">
        <v>5</v>
      </c>
      <c r="S13" s="12">
        <v>36</v>
      </c>
      <c r="T13" s="12">
        <v>319</v>
      </c>
      <c r="U13" s="12">
        <v>3</v>
      </c>
      <c r="V13" s="12">
        <v>43148</v>
      </c>
      <c r="W13" s="12">
        <v>86</v>
      </c>
      <c r="X13" s="12">
        <v>446</v>
      </c>
      <c r="Y13" s="12">
        <v>8</v>
      </c>
      <c r="Z13" s="12">
        <v>43</v>
      </c>
      <c r="AA13" s="12">
        <v>21</v>
      </c>
      <c r="AB13" s="12">
        <v>179872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ignoredErrors>
    <ignoredError sqref="B12:AB12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view="pageBreakPreview" topLeftCell="J1" zoomScale="112" zoomScaleSheetLayoutView="112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14480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14489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28989</v>
      </c>
      <c r="W5" s="7">
        <v>87</v>
      </c>
      <c r="X5" s="7">
        <v>436</v>
      </c>
      <c r="Y5" s="7">
        <v>9</v>
      </c>
      <c r="Z5" s="7">
        <v>43</v>
      </c>
      <c r="AA5" s="7">
        <v>0</v>
      </c>
      <c r="AB5" s="8">
        <v>29757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1853</v>
      </c>
      <c r="K6" s="7">
        <v>0</v>
      </c>
      <c r="L6" s="7">
        <v>0</v>
      </c>
      <c r="M6" s="7">
        <v>0</v>
      </c>
      <c r="N6" s="7">
        <v>68416</v>
      </c>
      <c r="O6" s="7">
        <v>0</v>
      </c>
      <c r="P6" s="7">
        <v>238</v>
      </c>
      <c r="Q6" s="7">
        <v>1632</v>
      </c>
      <c r="R6" s="7">
        <v>5</v>
      </c>
      <c r="S6" s="7">
        <v>36</v>
      </c>
      <c r="T6" s="7">
        <v>318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72508</v>
      </c>
    </row>
    <row r="7" spans="1:28" ht="13.5">
      <c r="A7" s="6" t="s">
        <v>10</v>
      </c>
      <c r="B7" s="7">
        <v>1</v>
      </c>
      <c r="C7" s="7">
        <v>2</v>
      </c>
      <c r="D7" s="7">
        <v>15</v>
      </c>
      <c r="E7" s="7">
        <v>10</v>
      </c>
      <c r="F7" s="7">
        <v>0</v>
      </c>
      <c r="G7" s="7">
        <v>3531</v>
      </c>
      <c r="H7" s="7">
        <v>72</v>
      </c>
      <c r="I7" s="7">
        <v>748</v>
      </c>
      <c r="J7" s="7">
        <v>5507</v>
      </c>
      <c r="K7" s="7">
        <v>0</v>
      </c>
      <c r="L7" s="7">
        <v>0</v>
      </c>
      <c r="M7" s="7">
        <v>24</v>
      </c>
      <c r="N7" s="7">
        <v>0</v>
      </c>
      <c r="O7" s="7">
        <v>361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10292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20919</v>
      </c>
      <c r="K8" s="7">
        <v>0</v>
      </c>
      <c r="L8" s="7">
        <v>404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21327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41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42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7925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7951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23459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23459</v>
      </c>
    </row>
    <row r="12" spans="1:28" ht="13.5">
      <c r="A12" s="6" t="s">
        <v>3</v>
      </c>
      <c r="B12" s="7">
        <f>B13-SUM(B4:B11)</f>
        <v>2</v>
      </c>
      <c r="C12" s="7">
        <f t="shared" ref="C12:AB12" si="0">C13-SUM(C4:C11)</f>
        <v>260</v>
      </c>
      <c r="D12" s="7">
        <f t="shared" si="0"/>
        <v>4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 t="shared" si="0"/>
        <v>267</v>
      </c>
    </row>
    <row r="13" spans="1:28" ht="13.5">
      <c r="A13" s="11" t="s">
        <v>1</v>
      </c>
      <c r="B13" s="12">
        <v>21</v>
      </c>
      <c r="C13" s="12">
        <v>267</v>
      </c>
      <c r="D13" s="12">
        <v>26</v>
      </c>
      <c r="E13" s="12">
        <v>10</v>
      </c>
      <c r="F13" s="12">
        <v>0</v>
      </c>
      <c r="G13" s="12">
        <v>3531</v>
      </c>
      <c r="H13" s="12">
        <v>72</v>
      </c>
      <c r="I13" s="12">
        <v>749</v>
      </c>
      <c r="J13" s="12">
        <v>59855</v>
      </c>
      <c r="K13" s="12">
        <v>41</v>
      </c>
      <c r="L13" s="12">
        <v>405</v>
      </c>
      <c r="M13" s="12">
        <v>24</v>
      </c>
      <c r="N13" s="12">
        <v>68416</v>
      </c>
      <c r="O13" s="12">
        <v>369</v>
      </c>
      <c r="P13" s="12">
        <v>238</v>
      </c>
      <c r="Q13" s="12">
        <v>1632</v>
      </c>
      <c r="R13" s="12">
        <v>5</v>
      </c>
      <c r="S13" s="12">
        <v>36</v>
      </c>
      <c r="T13" s="12">
        <v>318</v>
      </c>
      <c r="U13" s="12">
        <v>3</v>
      </c>
      <c r="V13" s="12">
        <v>43469</v>
      </c>
      <c r="W13" s="12">
        <v>87</v>
      </c>
      <c r="X13" s="12">
        <v>445</v>
      </c>
      <c r="Y13" s="12">
        <v>9</v>
      </c>
      <c r="Z13" s="12">
        <v>43</v>
      </c>
      <c r="AA13" s="12">
        <v>21</v>
      </c>
      <c r="AB13" s="12">
        <v>180092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ignoredErrors>
    <ignoredError sqref="B12:AB12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view="pageBreakPreview" topLeftCell="F1" zoomScale="98" zoomScaleSheetLayoutView="98" workbookViewId="0">
      <selection activeCell="C22" sqref="C22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14636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14645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29084</v>
      </c>
      <c r="W5" s="7">
        <v>86</v>
      </c>
      <c r="X5" s="7">
        <v>432</v>
      </c>
      <c r="Y5" s="7">
        <v>9</v>
      </c>
      <c r="Z5" s="7">
        <v>43</v>
      </c>
      <c r="AA5" s="7">
        <v>0</v>
      </c>
      <c r="AB5" s="8">
        <v>29845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1850</v>
      </c>
      <c r="K6" s="7">
        <v>0</v>
      </c>
      <c r="L6" s="7">
        <v>0</v>
      </c>
      <c r="M6" s="7">
        <v>0</v>
      </c>
      <c r="N6" s="7">
        <v>68310</v>
      </c>
      <c r="O6" s="7">
        <v>0</v>
      </c>
      <c r="P6" s="7">
        <v>238</v>
      </c>
      <c r="Q6" s="7">
        <v>1627</v>
      </c>
      <c r="R6" s="7">
        <v>6</v>
      </c>
      <c r="S6" s="7">
        <v>37</v>
      </c>
      <c r="T6" s="7">
        <v>314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72392</v>
      </c>
    </row>
    <row r="7" spans="1:28" ht="13.5">
      <c r="A7" s="6" t="s">
        <v>10</v>
      </c>
      <c r="B7" s="7">
        <v>1</v>
      </c>
      <c r="C7" s="7">
        <v>2</v>
      </c>
      <c r="D7" s="7">
        <v>15</v>
      </c>
      <c r="E7" s="7">
        <v>10</v>
      </c>
      <c r="F7" s="7">
        <v>0</v>
      </c>
      <c r="G7" s="7">
        <v>3491</v>
      </c>
      <c r="H7" s="7">
        <v>71</v>
      </c>
      <c r="I7" s="7">
        <v>740</v>
      </c>
      <c r="J7" s="7">
        <v>5527</v>
      </c>
      <c r="K7" s="7">
        <v>0</v>
      </c>
      <c r="L7" s="7">
        <v>0</v>
      </c>
      <c r="M7" s="7">
        <v>24</v>
      </c>
      <c r="N7" s="7">
        <v>0</v>
      </c>
      <c r="O7" s="7">
        <v>364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10266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20886</v>
      </c>
      <c r="K8" s="7">
        <v>0</v>
      </c>
      <c r="L8" s="7">
        <v>398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21288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41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42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7928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7954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23523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23523</v>
      </c>
    </row>
    <row r="12" spans="1:28" ht="13.5">
      <c r="A12" s="6" t="s">
        <v>3</v>
      </c>
      <c r="B12" s="7">
        <f>B13-SUM(B4:B11)</f>
        <v>2</v>
      </c>
      <c r="C12" s="7">
        <f t="shared" ref="C12:AA12" si="0">C13-SUM(C4:C11)</f>
        <v>259</v>
      </c>
      <c r="D12" s="7">
        <f t="shared" si="0"/>
        <v>4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266</v>
      </c>
    </row>
    <row r="13" spans="1:28" ht="13.5">
      <c r="A13" s="11" t="s">
        <v>1</v>
      </c>
      <c r="B13" s="12">
        <v>21</v>
      </c>
      <c r="C13" s="12">
        <v>266</v>
      </c>
      <c r="D13" s="12">
        <v>26</v>
      </c>
      <c r="E13" s="12">
        <v>10</v>
      </c>
      <c r="F13" s="12">
        <v>0</v>
      </c>
      <c r="G13" s="12">
        <v>3491</v>
      </c>
      <c r="H13" s="12">
        <v>71</v>
      </c>
      <c r="I13" s="12">
        <v>741</v>
      </c>
      <c r="J13" s="12">
        <v>59904</v>
      </c>
      <c r="K13" s="12">
        <v>41</v>
      </c>
      <c r="L13" s="12">
        <v>399</v>
      </c>
      <c r="M13" s="12">
        <v>24</v>
      </c>
      <c r="N13" s="12">
        <v>68310</v>
      </c>
      <c r="O13" s="12">
        <v>372</v>
      </c>
      <c r="P13" s="12">
        <v>238</v>
      </c>
      <c r="Q13" s="12">
        <v>1627</v>
      </c>
      <c r="R13" s="12">
        <v>6</v>
      </c>
      <c r="S13" s="12">
        <v>37</v>
      </c>
      <c r="T13" s="12">
        <v>314</v>
      </c>
      <c r="U13" s="12">
        <v>3</v>
      </c>
      <c r="V13" s="12">
        <v>43720</v>
      </c>
      <c r="W13" s="12">
        <v>86</v>
      </c>
      <c r="X13" s="12">
        <v>441</v>
      </c>
      <c r="Y13" s="12">
        <v>9</v>
      </c>
      <c r="Z13" s="12">
        <v>43</v>
      </c>
      <c r="AA13" s="12">
        <v>21</v>
      </c>
      <c r="AB13" s="12">
        <v>180221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ignoredErrors>
    <ignoredError sqref="B12:Z12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7"/>
  <sheetViews>
    <sheetView view="pageBreakPreview" topLeftCell="F1" zoomScale="96" zoomScaleSheetLayoutView="96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14802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14811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190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29149</v>
      </c>
      <c r="W5" s="7">
        <v>87</v>
      </c>
      <c r="X5" s="7">
        <v>436</v>
      </c>
      <c r="Y5" s="7">
        <v>9</v>
      </c>
      <c r="Z5" s="7">
        <v>43</v>
      </c>
      <c r="AA5" s="7">
        <v>0</v>
      </c>
      <c r="AB5" s="8">
        <v>29915</v>
      </c>
    </row>
    <row r="6" spans="1:28" ht="13.5">
      <c r="A6" s="6" t="s">
        <v>9</v>
      </c>
      <c r="B6" s="7">
        <v>3</v>
      </c>
      <c r="C6" s="7">
        <v>3</v>
      </c>
      <c r="D6" s="7">
        <v>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1847</v>
      </c>
      <c r="K6" s="7">
        <v>0</v>
      </c>
      <c r="L6" s="7">
        <v>0</v>
      </c>
      <c r="M6" s="7">
        <v>0</v>
      </c>
      <c r="N6" s="7">
        <v>68457</v>
      </c>
      <c r="O6" s="7">
        <v>0</v>
      </c>
      <c r="P6" s="7">
        <v>230</v>
      </c>
      <c r="Q6" s="7">
        <v>1622</v>
      </c>
      <c r="R6" s="7">
        <v>6</v>
      </c>
      <c r="S6" s="7">
        <v>37</v>
      </c>
      <c r="T6" s="7">
        <v>314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72523</v>
      </c>
    </row>
    <row r="7" spans="1:28" ht="13.5">
      <c r="A7" s="6" t="s">
        <v>10</v>
      </c>
      <c r="B7" s="7">
        <v>1</v>
      </c>
      <c r="C7" s="7">
        <v>2</v>
      </c>
      <c r="D7" s="7">
        <v>15</v>
      </c>
      <c r="E7" s="7">
        <v>10</v>
      </c>
      <c r="F7" s="7">
        <v>0</v>
      </c>
      <c r="G7" s="7">
        <v>3460</v>
      </c>
      <c r="H7" s="7">
        <v>68</v>
      </c>
      <c r="I7" s="7">
        <v>735</v>
      </c>
      <c r="J7" s="7">
        <v>5532</v>
      </c>
      <c r="K7" s="7">
        <v>0</v>
      </c>
      <c r="L7" s="7">
        <v>0</v>
      </c>
      <c r="M7" s="7">
        <v>24</v>
      </c>
      <c r="N7" s="7">
        <v>0</v>
      </c>
      <c r="O7" s="7">
        <v>363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10231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20820</v>
      </c>
      <c r="K8" s="7">
        <v>0</v>
      </c>
      <c r="L8" s="7">
        <v>395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21219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41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42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7929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7954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23602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23602</v>
      </c>
    </row>
    <row r="12" spans="1:28" ht="13.5">
      <c r="A12" s="6" t="s">
        <v>3</v>
      </c>
      <c r="B12" s="7">
        <f>B13-SUM(B4:B11)</f>
        <v>2</v>
      </c>
      <c r="C12" s="7">
        <f t="shared" ref="C12:AA12" si="0">C13-SUM(C4:C11)</f>
        <v>258</v>
      </c>
      <c r="D12" s="7">
        <f t="shared" si="0"/>
        <v>4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265</v>
      </c>
    </row>
    <row r="13" spans="1:28" ht="13.5">
      <c r="A13" s="11" t="s">
        <v>1</v>
      </c>
      <c r="B13" s="12">
        <v>21</v>
      </c>
      <c r="C13" s="12">
        <v>265</v>
      </c>
      <c r="D13" s="12">
        <v>26</v>
      </c>
      <c r="E13" s="12">
        <v>10</v>
      </c>
      <c r="F13" s="12">
        <v>0</v>
      </c>
      <c r="G13" s="12">
        <v>3460</v>
      </c>
      <c r="H13" s="12">
        <v>68</v>
      </c>
      <c r="I13" s="12">
        <v>736</v>
      </c>
      <c r="J13" s="12">
        <v>59920</v>
      </c>
      <c r="K13" s="12">
        <v>41</v>
      </c>
      <c r="L13" s="12">
        <v>396</v>
      </c>
      <c r="M13" s="12">
        <v>24</v>
      </c>
      <c r="N13" s="12">
        <v>68457</v>
      </c>
      <c r="O13" s="12">
        <v>371</v>
      </c>
      <c r="P13" s="12">
        <v>230</v>
      </c>
      <c r="Q13" s="12">
        <v>1622</v>
      </c>
      <c r="R13" s="12">
        <v>6</v>
      </c>
      <c r="S13" s="12">
        <v>37</v>
      </c>
      <c r="T13" s="12">
        <v>314</v>
      </c>
      <c r="U13" s="12">
        <v>2</v>
      </c>
      <c r="V13" s="12">
        <v>43951</v>
      </c>
      <c r="W13" s="12">
        <v>87</v>
      </c>
      <c r="X13" s="12">
        <v>445</v>
      </c>
      <c r="Y13" s="12">
        <v>9</v>
      </c>
      <c r="Z13" s="12">
        <v>43</v>
      </c>
      <c r="AA13" s="12">
        <v>21</v>
      </c>
      <c r="AB13" s="12">
        <v>180562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ignoredErrors>
    <ignoredError sqref="B12:AB12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7"/>
  <sheetViews>
    <sheetView view="pageBreakPreview" topLeftCell="E1" zoomScaleSheetLayoutView="100" workbookViewId="0">
      <selection activeCell="A3" sqref="A3:XFD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14877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14886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188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29194</v>
      </c>
      <c r="W5" s="7">
        <v>88</v>
      </c>
      <c r="X5" s="7">
        <v>435</v>
      </c>
      <c r="Y5" s="7">
        <v>9</v>
      </c>
      <c r="Z5" s="7">
        <v>43</v>
      </c>
      <c r="AA5" s="7">
        <v>0</v>
      </c>
      <c r="AB5" s="8">
        <v>29958</v>
      </c>
    </row>
    <row r="6" spans="1:28" ht="13.5">
      <c r="A6" s="6" t="s">
        <v>9</v>
      </c>
      <c r="B6" s="7">
        <v>3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1844</v>
      </c>
      <c r="K6" s="7">
        <v>0</v>
      </c>
      <c r="L6" s="7">
        <v>0</v>
      </c>
      <c r="M6" s="7">
        <v>0</v>
      </c>
      <c r="N6" s="7">
        <v>68572</v>
      </c>
      <c r="O6" s="7">
        <v>0</v>
      </c>
      <c r="P6" s="7">
        <v>224</v>
      </c>
      <c r="Q6" s="7">
        <v>1626</v>
      </c>
      <c r="R6" s="7">
        <v>6</v>
      </c>
      <c r="S6" s="7">
        <v>37</v>
      </c>
      <c r="T6" s="7">
        <v>315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72633</v>
      </c>
    </row>
    <row r="7" spans="1:28" ht="13.5">
      <c r="A7" s="6" t="s">
        <v>10</v>
      </c>
      <c r="B7" s="7">
        <v>1</v>
      </c>
      <c r="C7" s="7">
        <v>2</v>
      </c>
      <c r="D7" s="7">
        <v>14</v>
      </c>
      <c r="E7" s="7">
        <v>9</v>
      </c>
      <c r="F7" s="7">
        <v>0</v>
      </c>
      <c r="G7" s="7">
        <v>3430</v>
      </c>
      <c r="H7" s="7">
        <v>68</v>
      </c>
      <c r="I7" s="7">
        <v>727</v>
      </c>
      <c r="J7" s="7">
        <v>5546</v>
      </c>
      <c r="K7" s="7">
        <v>0</v>
      </c>
      <c r="L7" s="7">
        <v>0</v>
      </c>
      <c r="M7" s="7">
        <v>23</v>
      </c>
      <c r="N7" s="7">
        <v>0</v>
      </c>
      <c r="O7" s="7">
        <v>357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10198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20747</v>
      </c>
      <c r="K8" s="7">
        <v>0</v>
      </c>
      <c r="L8" s="7">
        <v>391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21142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40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41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7934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7959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23700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23700</v>
      </c>
    </row>
    <row r="12" spans="1:28" ht="13.5">
      <c r="A12" s="6" t="s">
        <v>3</v>
      </c>
      <c r="B12" s="7">
        <f>B13-SUM(B4:B11)</f>
        <v>2</v>
      </c>
      <c r="C12" s="7">
        <f t="shared" ref="C12:AA12" si="0">C13-SUM(C4:C11)</f>
        <v>255</v>
      </c>
      <c r="D12" s="7">
        <f t="shared" si="0"/>
        <v>3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261</v>
      </c>
    </row>
    <row r="13" spans="1:28" ht="13.5">
      <c r="A13" s="11" t="s">
        <v>1</v>
      </c>
      <c r="B13" s="12">
        <v>21</v>
      </c>
      <c r="C13" s="12">
        <v>262</v>
      </c>
      <c r="D13" s="12">
        <v>23</v>
      </c>
      <c r="E13" s="12">
        <v>9</v>
      </c>
      <c r="F13" s="12">
        <v>0</v>
      </c>
      <c r="G13" s="12">
        <v>3430</v>
      </c>
      <c r="H13" s="12">
        <v>68</v>
      </c>
      <c r="I13" s="12">
        <v>728</v>
      </c>
      <c r="J13" s="12">
        <v>59959</v>
      </c>
      <c r="K13" s="12">
        <v>40</v>
      </c>
      <c r="L13" s="12">
        <v>392</v>
      </c>
      <c r="M13" s="12">
        <v>23</v>
      </c>
      <c r="N13" s="12">
        <v>68572</v>
      </c>
      <c r="O13" s="12">
        <v>365</v>
      </c>
      <c r="P13" s="12">
        <v>224</v>
      </c>
      <c r="Q13" s="12">
        <v>1626</v>
      </c>
      <c r="R13" s="12">
        <v>6</v>
      </c>
      <c r="S13" s="12">
        <v>37</v>
      </c>
      <c r="T13" s="12">
        <v>315</v>
      </c>
      <c r="U13" s="12">
        <v>2</v>
      </c>
      <c r="V13" s="12">
        <v>44071</v>
      </c>
      <c r="W13" s="12">
        <v>88</v>
      </c>
      <c r="X13" s="12">
        <v>444</v>
      </c>
      <c r="Y13" s="12">
        <v>9</v>
      </c>
      <c r="Z13" s="12">
        <v>43</v>
      </c>
      <c r="AA13" s="12">
        <v>21</v>
      </c>
      <c r="AB13" s="12">
        <v>180778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7"/>
  <sheetViews>
    <sheetView view="pageBreakPreview" topLeftCell="F1" zoomScale="98" zoomScaleSheetLayoutView="98" workbookViewId="0">
      <selection activeCell="AA4" sqref="B4:AA12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14982</v>
      </c>
      <c r="W4" s="7">
        <v>0</v>
      </c>
      <c r="X4" s="7">
        <v>9</v>
      </c>
      <c r="Y4" s="7">
        <v>0</v>
      </c>
      <c r="Z4" s="7">
        <v>0</v>
      </c>
      <c r="AA4" s="7">
        <v>0</v>
      </c>
      <c r="AB4" s="8">
        <v>14991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189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29228</v>
      </c>
      <c r="W5" s="7">
        <v>88</v>
      </c>
      <c r="X5" s="7">
        <v>438</v>
      </c>
      <c r="Y5" s="7">
        <v>9</v>
      </c>
      <c r="Z5" s="7">
        <v>42</v>
      </c>
      <c r="AA5" s="7">
        <v>0</v>
      </c>
      <c r="AB5" s="8">
        <v>29995</v>
      </c>
    </row>
    <row r="6" spans="1:28" ht="13.5">
      <c r="A6" s="6" t="s">
        <v>9</v>
      </c>
      <c r="B6" s="7">
        <v>3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1832</v>
      </c>
      <c r="K6" s="7">
        <v>0</v>
      </c>
      <c r="L6" s="7">
        <v>0</v>
      </c>
      <c r="M6" s="7">
        <v>0</v>
      </c>
      <c r="N6" s="7">
        <v>68592</v>
      </c>
      <c r="O6" s="7">
        <v>0</v>
      </c>
      <c r="P6" s="7">
        <v>222</v>
      </c>
      <c r="Q6" s="7">
        <v>1600</v>
      </c>
      <c r="R6" s="7">
        <v>5</v>
      </c>
      <c r="S6" s="7">
        <v>37</v>
      </c>
      <c r="T6" s="7">
        <v>311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72608</v>
      </c>
    </row>
    <row r="7" spans="1:28" ht="13.5">
      <c r="A7" s="6" t="s">
        <v>10</v>
      </c>
      <c r="B7" s="7">
        <v>1</v>
      </c>
      <c r="C7" s="7">
        <v>2</v>
      </c>
      <c r="D7" s="7">
        <v>14</v>
      </c>
      <c r="E7" s="7">
        <v>8</v>
      </c>
      <c r="F7" s="7">
        <v>0</v>
      </c>
      <c r="G7" s="7">
        <v>3410</v>
      </c>
      <c r="H7" s="7">
        <v>68</v>
      </c>
      <c r="I7" s="7">
        <v>720</v>
      </c>
      <c r="J7" s="7">
        <v>5546</v>
      </c>
      <c r="K7" s="7">
        <v>0</v>
      </c>
      <c r="L7" s="7">
        <v>0</v>
      </c>
      <c r="M7" s="7">
        <v>23</v>
      </c>
      <c r="N7" s="7">
        <v>0</v>
      </c>
      <c r="O7" s="7">
        <v>358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21</v>
      </c>
      <c r="AB7" s="8">
        <v>10171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20783</v>
      </c>
      <c r="K8" s="7">
        <v>0</v>
      </c>
      <c r="L8" s="7">
        <v>389</v>
      </c>
      <c r="M8" s="7">
        <v>0</v>
      </c>
      <c r="N8" s="7">
        <v>0</v>
      </c>
      <c r="O8" s="7">
        <v>4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21176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39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40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7946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7971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23736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23736</v>
      </c>
    </row>
    <row r="12" spans="1:28" ht="13.5">
      <c r="A12" s="6" t="s">
        <v>3</v>
      </c>
      <c r="B12" s="7">
        <f>B13-SUM(B4:B11)</f>
        <v>2</v>
      </c>
      <c r="C12" s="7">
        <f t="shared" ref="C12:AA12" si="0">C13-SUM(C4:C11)</f>
        <v>250</v>
      </c>
      <c r="D12" s="7">
        <f t="shared" si="0"/>
        <v>3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256</v>
      </c>
    </row>
    <row r="13" spans="1:28" ht="13.5">
      <c r="A13" s="11" t="s">
        <v>1</v>
      </c>
      <c r="B13" s="12">
        <v>21</v>
      </c>
      <c r="C13" s="12">
        <v>257</v>
      </c>
      <c r="D13" s="12">
        <v>23</v>
      </c>
      <c r="E13" s="12">
        <v>8</v>
      </c>
      <c r="F13" s="12">
        <v>0</v>
      </c>
      <c r="G13" s="12">
        <v>3410</v>
      </c>
      <c r="H13" s="12">
        <v>68</v>
      </c>
      <c r="I13" s="12">
        <v>721</v>
      </c>
      <c r="J13" s="12">
        <v>60032</v>
      </c>
      <c r="K13" s="12">
        <v>39</v>
      </c>
      <c r="L13" s="12">
        <v>390</v>
      </c>
      <c r="M13" s="12">
        <v>23</v>
      </c>
      <c r="N13" s="12">
        <v>68592</v>
      </c>
      <c r="O13" s="12">
        <v>366</v>
      </c>
      <c r="P13" s="12">
        <v>222</v>
      </c>
      <c r="Q13" s="12">
        <v>1600</v>
      </c>
      <c r="R13" s="12">
        <v>5</v>
      </c>
      <c r="S13" s="12">
        <v>37</v>
      </c>
      <c r="T13" s="12">
        <v>311</v>
      </c>
      <c r="U13" s="12">
        <v>2</v>
      </c>
      <c r="V13" s="12">
        <v>44210</v>
      </c>
      <c r="W13" s="12">
        <v>88</v>
      </c>
      <c r="X13" s="12">
        <v>447</v>
      </c>
      <c r="Y13" s="12">
        <v>9</v>
      </c>
      <c r="Z13" s="12">
        <v>42</v>
      </c>
      <c r="AA13" s="12">
        <v>21</v>
      </c>
      <c r="AB13" s="12">
        <v>180944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7"/>
  <sheetViews>
    <sheetView view="pageBreakPreview" topLeftCell="G1" zoomScale="98" zoomScaleSheetLayoutView="98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15191</v>
      </c>
      <c r="W4" s="7">
        <v>0</v>
      </c>
      <c r="X4" s="7">
        <v>8</v>
      </c>
      <c r="Y4" s="7">
        <v>0</v>
      </c>
      <c r="Z4" s="7">
        <v>0</v>
      </c>
      <c r="AA4" s="7">
        <v>0</v>
      </c>
      <c r="AB4" s="8">
        <v>15199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185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29153</v>
      </c>
      <c r="W5" s="7">
        <v>87</v>
      </c>
      <c r="X5" s="7">
        <v>442</v>
      </c>
      <c r="Y5" s="7">
        <v>9</v>
      </c>
      <c r="Z5" s="7">
        <v>43</v>
      </c>
      <c r="AA5" s="7">
        <v>0</v>
      </c>
      <c r="AB5" s="8">
        <v>29920</v>
      </c>
    </row>
    <row r="6" spans="1:28" ht="13.5">
      <c r="A6" s="6" t="s">
        <v>9</v>
      </c>
      <c r="B6" s="7">
        <v>3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1833</v>
      </c>
      <c r="K6" s="7">
        <v>0</v>
      </c>
      <c r="L6" s="7">
        <v>0</v>
      </c>
      <c r="M6" s="7">
        <v>0</v>
      </c>
      <c r="N6" s="7">
        <v>68777</v>
      </c>
      <c r="O6" s="7">
        <v>0</v>
      </c>
      <c r="P6" s="7">
        <v>221</v>
      </c>
      <c r="Q6" s="7">
        <v>1612</v>
      </c>
      <c r="R6" s="7">
        <v>5</v>
      </c>
      <c r="S6" s="7">
        <v>36</v>
      </c>
      <c r="T6" s="7">
        <v>308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72801</v>
      </c>
    </row>
    <row r="7" spans="1:28" ht="13.5">
      <c r="A7" s="6" t="s">
        <v>10</v>
      </c>
      <c r="B7" s="7">
        <v>1</v>
      </c>
      <c r="C7" s="7">
        <v>2</v>
      </c>
      <c r="D7" s="7">
        <v>14</v>
      </c>
      <c r="E7" s="7">
        <v>9</v>
      </c>
      <c r="F7" s="7">
        <v>0</v>
      </c>
      <c r="G7" s="7">
        <v>3360</v>
      </c>
      <c r="H7" s="7">
        <v>66</v>
      </c>
      <c r="I7" s="7">
        <v>714</v>
      </c>
      <c r="J7" s="7">
        <v>5550</v>
      </c>
      <c r="K7" s="7">
        <v>0</v>
      </c>
      <c r="L7" s="7">
        <v>0</v>
      </c>
      <c r="M7" s="7">
        <v>24</v>
      </c>
      <c r="N7" s="7">
        <v>0</v>
      </c>
      <c r="O7" s="7">
        <v>355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20</v>
      </c>
      <c r="AB7" s="8">
        <v>10115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20702</v>
      </c>
      <c r="K8" s="7">
        <v>0</v>
      </c>
      <c r="L8" s="7">
        <v>390</v>
      </c>
      <c r="M8" s="7">
        <v>0</v>
      </c>
      <c r="N8" s="7">
        <v>0</v>
      </c>
      <c r="O8" s="7">
        <v>3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21095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38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39</v>
      </c>
    </row>
    <row r="10" spans="1:28" ht="13.5">
      <c r="A10" s="6" t="s">
        <v>5</v>
      </c>
      <c r="B10" s="7">
        <v>14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7953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7978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23795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23795</v>
      </c>
    </row>
    <row r="12" spans="1:28" ht="13.5">
      <c r="A12" s="6" t="s">
        <v>3</v>
      </c>
      <c r="B12" s="7">
        <f>B13-SUM(B4:B11)</f>
        <v>2</v>
      </c>
      <c r="C12" s="7">
        <f t="shared" ref="C12:AA12" si="0">C13-SUM(C4:C11)</f>
        <v>250</v>
      </c>
      <c r="D12" s="7">
        <f t="shared" si="0"/>
        <v>3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256</v>
      </c>
    </row>
    <row r="13" spans="1:28" ht="13.5">
      <c r="A13" s="11" t="s">
        <v>1</v>
      </c>
      <c r="B13" s="12">
        <v>21</v>
      </c>
      <c r="C13" s="12">
        <v>257</v>
      </c>
      <c r="D13" s="12">
        <v>23</v>
      </c>
      <c r="E13" s="12">
        <v>9</v>
      </c>
      <c r="F13" s="12">
        <v>0</v>
      </c>
      <c r="G13" s="12">
        <v>3360</v>
      </c>
      <c r="H13" s="12">
        <v>66</v>
      </c>
      <c r="I13" s="12">
        <v>715</v>
      </c>
      <c r="J13" s="12">
        <v>60018</v>
      </c>
      <c r="K13" s="12">
        <v>38</v>
      </c>
      <c r="L13" s="12">
        <v>391</v>
      </c>
      <c r="M13" s="12">
        <v>24</v>
      </c>
      <c r="N13" s="12">
        <v>68777</v>
      </c>
      <c r="O13" s="12">
        <v>362</v>
      </c>
      <c r="P13" s="12">
        <v>221</v>
      </c>
      <c r="Q13" s="12">
        <v>1612</v>
      </c>
      <c r="R13" s="12">
        <v>5</v>
      </c>
      <c r="S13" s="12">
        <v>36</v>
      </c>
      <c r="T13" s="12">
        <v>308</v>
      </c>
      <c r="U13" s="12">
        <v>2</v>
      </c>
      <c r="V13" s="12">
        <v>44344</v>
      </c>
      <c r="W13" s="12">
        <v>87</v>
      </c>
      <c r="X13" s="12">
        <v>450</v>
      </c>
      <c r="Y13" s="12">
        <v>9</v>
      </c>
      <c r="Z13" s="12">
        <v>43</v>
      </c>
      <c r="AA13" s="12">
        <v>20</v>
      </c>
      <c r="AB13" s="12">
        <v>181198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7"/>
  <sheetViews>
    <sheetView view="pageBreakPreview" topLeftCell="F1" zoomScale="96" zoomScaleSheetLayoutView="96" workbookViewId="0">
      <selection activeCell="B13" sqref="B13:AB13"/>
    </sheetView>
  </sheetViews>
  <sheetFormatPr defaultColWidth="9.140625" defaultRowHeight="12.75"/>
  <cols>
    <col min="1" max="1" width="52.85546875" style="2" bestFit="1" customWidth="1"/>
    <col min="2" max="27" width="11.85546875" style="2" customWidth="1"/>
    <col min="28" max="28" width="13.42578125" style="2" customWidth="1"/>
    <col min="29" max="16384" width="9.140625" style="2"/>
  </cols>
  <sheetData>
    <row r="1" spans="1:28" ht="71.25" customHeigh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s="1" customFormat="1" ht="16.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4" customFormat="1" ht="33" customHeight="1">
      <c r="A3" s="5" t="s">
        <v>2</v>
      </c>
      <c r="B3" s="5">
        <v>7</v>
      </c>
      <c r="C3" s="5">
        <v>22</v>
      </c>
      <c r="D3" s="5">
        <v>44</v>
      </c>
      <c r="E3" s="5">
        <v>55</v>
      </c>
      <c r="F3" s="5">
        <v>62</v>
      </c>
      <c r="G3" s="5">
        <v>70</v>
      </c>
      <c r="H3" s="5">
        <v>77</v>
      </c>
      <c r="I3" s="5">
        <v>92</v>
      </c>
      <c r="J3" s="5">
        <v>100</v>
      </c>
      <c r="K3" s="5">
        <v>107</v>
      </c>
      <c r="L3" s="5">
        <v>122</v>
      </c>
      <c r="M3" s="5">
        <v>169</v>
      </c>
      <c r="N3" s="5">
        <v>175</v>
      </c>
      <c r="O3" s="5">
        <v>144</v>
      </c>
      <c r="P3" s="5">
        <v>182</v>
      </c>
      <c r="Q3" s="5">
        <v>197</v>
      </c>
      <c r="R3" s="5">
        <v>219</v>
      </c>
      <c r="S3" s="5">
        <v>233</v>
      </c>
      <c r="T3" s="5">
        <v>278</v>
      </c>
      <c r="U3" s="5">
        <v>244</v>
      </c>
      <c r="V3" s="5">
        <v>340</v>
      </c>
      <c r="W3" s="5">
        <v>347</v>
      </c>
      <c r="X3" s="5">
        <v>362</v>
      </c>
      <c r="Y3" s="5">
        <v>384</v>
      </c>
      <c r="Z3" s="5">
        <v>413</v>
      </c>
      <c r="AA3" s="5" t="s">
        <v>3</v>
      </c>
      <c r="AB3" s="5" t="s">
        <v>1</v>
      </c>
    </row>
    <row r="4" spans="1:28" ht="13.5">
      <c r="A4" s="6" t="s">
        <v>7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15426</v>
      </c>
      <c r="W4" s="7">
        <v>0</v>
      </c>
      <c r="X4" s="7">
        <v>8</v>
      </c>
      <c r="Y4" s="7">
        <v>0</v>
      </c>
      <c r="Z4" s="7">
        <v>0</v>
      </c>
      <c r="AA4" s="7">
        <v>0</v>
      </c>
      <c r="AB4" s="8">
        <v>15434</v>
      </c>
    </row>
    <row r="5" spans="1:28" ht="13.5">
      <c r="A5" s="6" t="s">
        <v>8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185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29306</v>
      </c>
      <c r="W5" s="7">
        <v>86</v>
      </c>
      <c r="X5" s="7">
        <v>447</v>
      </c>
      <c r="Y5" s="7">
        <v>10</v>
      </c>
      <c r="Z5" s="7">
        <v>43</v>
      </c>
      <c r="AA5" s="7">
        <v>0</v>
      </c>
      <c r="AB5" s="8">
        <v>30078</v>
      </c>
    </row>
    <row r="6" spans="1:28" ht="13.5">
      <c r="A6" s="6" t="s">
        <v>9</v>
      </c>
      <c r="B6" s="7">
        <v>3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1825</v>
      </c>
      <c r="K6" s="7">
        <v>0</v>
      </c>
      <c r="L6" s="7">
        <v>0</v>
      </c>
      <c r="M6" s="7">
        <v>0</v>
      </c>
      <c r="N6" s="7">
        <v>68986</v>
      </c>
      <c r="O6" s="7">
        <v>0</v>
      </c>
      <c r="P6" s="7">
        <v>220</v>
      </c>
      <c r="Q6" s="7">
        <v>1616</v>
      </c>
      <c r="R6" s="7">
        <v>5</v>
      </c>
      <c r="S6" s="7">
        <v>36</v>
      </c>
      <c r="T6" s="7">
        <v>313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8">
        <v>73010</v>
      </c>
    </row>
    <row r="7" spans="1:28" ht="13.5">
      <c r="A7" s="6" t="s">
        <v>10</v>
      </c>
      <c r="B7" s="7">
        <v>1</v>
      </c>
      <c r="C7" s="7">
        <v>1</v>
      </c>
      <c r="D7" s="7">
        <v>14</v>
      </c>
      <c r="E7" s="7">
        <v>9</v>
      </c>
      <c r="F7" s="7">
        <v>0</v>
      </c>
      <c r="G7" s="7">
        <v>3316</v>
      </c>
      <c r="H7" s="7">
        <v>65</v>
      </c>
      <c r="I7" s="7">
        <v>706</v>
      </c>
      <c r="J7" s="7">
        <v>5579</v>
      </c>
      <c r="K7" s="7">
        <v>0</v>
      </c>
      <c r="L7" s="7">
        <v>0</v>
      </c>
      <c r="M7" s="7">
        <v>24</v>
      </c>
      <c r="N7" s="7">
        <v>0</v>
      </c>
      <c r="O7" s="7">
        <v>356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20</v>
      </c>
      <c r="AB7" s="8">
        <v>10091</v>
      </c>
    </row>
    <row r="8" spans="1:28" ht="13.5">
      <c r="A8" s="6" t="s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20707</v>
      </c>
      <c r="K8" s="7">
        <v>0</v>
      </c>
      <c r="L8" s="7">
        <v>383</v>
      </c>
      <c r="M8" s="7">
        <v>0</v>
      </c>
      <c r="N8" s="7">
        <v>0</v>
      </c>
      <c r="O8" s="7">
        <v>3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8">
        <v>21093</v>
      </c>
    </row>
    <row r="9" spans="1:28" ht="13.5">
      <c r="A9" s="6" t="s">
        <v>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39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40</v>
      </c>
    </row>
    <row r="10" spans="1:28" ht="13.5">
      <c r="A10" s="6" t="s">
        <v>5</v>
      </c>
      <c r="B10" s="7">
        <v>13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7941</v>
      </c>
      <c r="K10" s="7">
        <v>0</v>
      </c>
      <c r="L10" s="7">
        <v>0</v>
      </c>
      <c r="M10" s="7">
        <v>0</v>
      </c>
      <c r="N10" s="7">
        <v>0</v>
      </c>
      <c r="O10" s="7">
        <v>4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2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8">
        <v>7965</v>
      </c>
    </row>
    <row r="11" spans="1:28" ht="13.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23896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23896</v>
      </c>
    </row>
    <row r="12" spans="1:28" ht="13.5">
      <c r="A12" s="6" t="s">
        <v>3</v>
      </c>
      <c r="B12" s="7">
        <f>B13-SUM(B4:B11)</f>
        <v>1</v>
      </c>
      <c r="C12" s="7">
        <f t="shared" ref="C12:AA12" si="0">C13-SUM(C4:C11)</f>
        <v>249</v>
      </c>
      <c r="D12" s="7">
        <f t="shared" si="0"/>
        <v>3</v>
      </c>
      <c r="E12" s="7">
        <f t="shared" si="0"/>
        <v>0</v>
      </c>
      <c r="F12" s="7">
        <f t="shared" si="0"/>
        <v>0</v>
      </c>
      <c r="G12" s="7">
        <f t="shared" si="0"/>
        <v>0</v>
      </c>
      <c r="H12" s="7">
        <f t="shared" si="0"/>
        <v>0</v>
      </c>
      <c r="I12" s="7">
        <f t="shared" si="0"/>
        <v>1</v>
      </c>
      <c r="J12" s="7">
        <f t="shared" si="0"/>
        <v>0</v>
      </c>
      <c r="K12" s="7">
        <f t="shared" si="0"/>
        <v>0</v>
      </c>
      <c r="L12" s="7">
        <f t="shared" si="0"/>
        <v>0</v>
      </c>
      <c r="M12" s="7">
        <f t="shared" si="0"/>
        <v>0</v>
      </c>
      <c r="N12" s="7">
        <f t="shared" si="0"/>
        <v>0</v>
      </c>
      <c r="O12" s="7">
        <f t="shared" si="0"/>
        <v>0</v>
      </c>
      <c r="P12" s="7">
        <f t="shared" si="0"/>
        <v>0</v>
      </c>
      <c r="Q12" s="7">
        <f>Q13-SUM(Q4:Q11)</f>
        <v>0</v>
      </c>
      <c r="R12" s="7">
        <f t="shared" si="0"/>
        <v>0</v>
      </c>
      <c r="S12" s="7">
        <f t="shared" si="0"/>
        <v>0</v>
      </c>
      <c r="T12" s="7">
        <f t="shared" si="0"/>
        <v>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8">
        <f>AB13-SUM(AB4:AB11)</f>
        <v>254</v>
      </c>
    </row>
    <row r="13" spans="1:28" ht="13.5">
      <c r="A13" s="11" t="s">
        <v>1</v>
      </c>
      <c r="B13" s="12">
        <v>19</v>
      </c>
      <c r="C13" s="12">
        <v>255</v>
      </c>
      <c r="D13" s="12">
        <v>23</v>
      </c>
      <c r="E13" s="12">
        <v>9</v>
      </c>
      <c r="F13" s="12">
        <v>0</v>
      </c>
      <c r="G13" s="12">
        <v>3316</v>
      </c>
      <c r="H13" s="12">
        <v>65</v>
      </c>
      <c r="I13" s="12">
        <v>707</v>
      </c>
      <c r="J13" s="12">
        <v>60133</v>
      </c>
      <c r="K13" s="12">
        <v>39</v>
      </c>
      <c r="L13" s="12">
        <v>384</v>
      </c>
      <c r="M13" s="12">
        <v>24</v>
      </c>
      <c r="N13" s="12">
        <v>68986</v>
      </c>
      <c r="O13" s="12">
        <v>363</v>
      </c>
      <c r="P13" s="12">
        <v>220</v>
      </c>
      <c r="Q13" s="12">
        <v>1616</v>
      </c>
      <c r="R13" s="12">
        <v>5</v>
      </c>
      <c r="S13" s="12">
        <v>36</v>
      </c>
      <c r="T13" s="12">
        <v>313</v>
      </c>
      <c r="U13" s="12">
        <v>2</v>
      </c>
      <c r="V13" s="12">
        <v>44732</v>
      </c>
      <c r="W13" s="12">
        <v>86</v>
      </c>
      <c r="X13" s="12">
        <v>455</v>
      </c>
      <c r="Y13" s="12">
        <v>10</v>
      </c>
      <c r="Z13" s="12">
        <v>43</v>
      </c>
      <c r="AA13" s="12">
        <v>20</v>
      </c>
      <c r="AB13" s="12">
        <v>181861</v>
      </c>
    </row>
    <row r="14" spans="1:28" s="3" customFormat="1"/>
    <row r="15" spans="1:28" s="3" customFormat="1"/>
    <row r="16" spans="1:28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Irina  Kaladze</cp:lastModifiedBy>
  <dcterms:created xsi:type="dcterms:W3CDTF">2011-11-14T12:28:14Z</dcterms:created>
  <dcterms:modified xsi:type="dcterms:W3CDTF">2024-03-18T10:59:41Z</dcterms:modified>
</cp:coreProperties>
</file>