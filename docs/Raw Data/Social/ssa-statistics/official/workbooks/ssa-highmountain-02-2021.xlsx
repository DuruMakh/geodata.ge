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21 ჩემი გასაკეთებელი\5.2. მაღალმთიანი 2021\"/>
    </mc:Choice>
  </mc:AlternateContent>
  <bookViews>
    <workbookView xWindow="0" yWindow="0" windowWidth="28800" windowHeight="12300" tabRatio="822" activeTab="11"/>
  </bookViews>
  <sheets>
    <sheet name="January" sheetId="111" r:id="rId1"/>
    <sheet name="February" sheetId="112" r:id="rId2"/>
    <sheet name="March" sheetId="113" r:id="rId3"/>
    <sheet name="April" sheetId="114" r:id="rId4"/>
    <sheet name="May" sheetId="115" r:id="rId5"/>
    <sheet name="June" sheetId="116" r:id="rId6"/>
    <sheet name="July" sheetId="117" r:id="rId7"/>
    <sheet name="August" sheetId="118" r:id="rId8"/>
    <sheet name="September" sheetId="119" r:id="rId9"/>
    <sheet name="October" sheetId="120" r:id="rId10"/>
    <sheet name="November" sheetId="121" r:id="rId11"/>
    <sheet name="December" sheetId="122" r:id="rId12"/>
  </sheets>
  <definedNames>
    <definedName name="_xlnm.Print_Area" localSheetId="3">April!$A$1:$F$19</definedName>
    <definedName name="_xlnm.Print_Area" localSheetId="7">August!$A$1:$F$19</definedName>
    <definedName name="_xlnm.Print_Area" localSheetId="11">December!$A$1:$F$19</definedName>
    <definedName name="_xlnm.Print_Area" localSheetId="1">February!$A$1:$F$19</definedName>
    <definedName name="_xlnm.Print_Area" localSheetId="0">January!$A$1:$F$19</definedName>
    <definedName name="_xlnm.Print_Area" localSheetId="6">July!$A$1:$F$19</definedName>
    <definedName name="_xlnm.Print_Area" localSheetId="5">June!$A$1:$F$19</definedName>
    <definedName name="_xlnm.Print_Area" localSheetId="2">March!$A$1:$F$19</definedName>
    <definedName name="_xlnm.Print_Area" localSheetId="4">May!$A$1:$F$19</definedName>
    <definedName name="_xlnm.Print_Area" localSheetId="10">November!$A$1:$F$19</definedName>
    <definedName name="_xlnm.Print_Area" localSheetId="9">October!$A$1:$F$19</definedName>
    <definedName name="_xlnm.Print_Area" localSheetId="8">September!$A$1:$F$19</definedName>
  </definedNames>
  <calcPr calcId="152511"/>
</workbook>
</file>

<file path=xl/calcChain.xml><?xml version="1.0" encoding="utf-8"?>
<calcChain xmlns="http://schemas.openxmlformats.org/spreadsheetml/2006/main">
  <c r="C17" i="120" l="1"/>
  <c r="C17" i="117" l="1"/>
  <c r="D17" i="117"/>
  <c r="E17" i="117"/>
  <c r="F17" i="117"/>
  <c r="B17" i="117"/>
  <c r="C17" i="116" l="1"/>
  <c r="D17" i="116"/>
  <c r="E17" i="116"/>
  <c r="F17" i="116"/>
  <c r="B17" i="116"/>
  <c r="C17" i="115" l="1"/>
  <c r="D17" i="115"/>
  <c r="E17" i="115"/>
  <c r="F17" i="115"/>
  <c r="B17" i="115"/>
</calcChain>
</file>

<file path=xl/sharedStrings.xml><?xml version="1.0" encoding="utf-8"?>
<sst xmlns="http://schemas.openxmlformats.org/spreadsheetml/2006/main" count="276" uniqueCount="23">
  <si>
    <t>სულ</t>
  </si>
  <si>
    <t>*თანხები მითითებულია დაბეგვრის გარეშე</t>
  </si>
  <si>
    <t>ორგანიზაცია</t>
  </si>
  <si>
    <t>ექიმი</t>
  </si>
  <si>
    <t>ექთანი</t>
  </si>
  <si>
    <t>სულ დასაქმებული</t>
  </si>
  <si>
    <t>გადარიცხული თანხა*</t>
  </si>
  <si>
    <t>შპს შიდა ქართლის პირველადი ჯანდაცვის ცენტრი</t>
  </si>
  <si>
    <t>შპს რეგიონული ჯანდაცვის ცენტრი</t>
  </si>
  <si>
    <t>შპს აბასთუმნის ტუბსაწინააღმდეგო საავადმყოფო</t>
  </si>
  <si>
    <t>შპს ბარისახოს ამბულატორია დღის სტაციონარი</t>
  </si>
  <si>
    <t>შპს შატილის საექიმო ამბულატორია</t>
  </si>
  <si>
    <t>შპს მანგლისის საავადმყოფო პოლიკლინიკა</t>
  </si>
  <si>
    <t>შპს ჭუბერი-უშგულის სპეციალიზირებული ამბულატორიული მომსახურეობა</t>
  </si>
  <si>
    <t>შპს მესტიის სავადმყოფო-ამბულატორიული გაერთიანება</t>
  </si>
  <si>
    <t>შპს ნიქოზის ამბულატორია</t>
  </si>
  <si>
    <t>მაღალმთიან დასახლებაში მუდმივად მცხოვრები/დასაქმებული/დაკონტრაქტებული დანამატის მიმღები ექიმებისა და ექთნების რაოდენობა და გადარიცხული თანხა სამედიცინო დაწესებულებაში დასაქმების მიხედვით*</t>
  </si>
  <si>
    <t>სსიპ - საგანგებო სიტუაციების კოორდინაციისა და გადაუდებელი დახმარების ცენტრი</t>
  </si>
  <si>
    <t>სს საჩხერის რაიონული საავადმყოფო-პოლიკლინიკური გაერთიანება</t>
  </si>
  <si>
    <t>პარამედიკოსი</t>
  </si>
  <si>
    <t>სსიპ - საგანგებო სიტუაციების კოორდინაციისა და გადაუდებელი დახმარების ცენტრი (სოფლის ექიმი/ექთანი)</t>
  </si>
  <si>
    <t>შპს აღმოსავლეთ საქართველოს ფსიქიკური ჯანმრთელობის ცენტრი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</si>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</sst>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sz val="11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2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8" fillId="2" borderId="0" xfId="0" applyNumberFormat="1" applyFont="1" applyFill="1" applyBorder="1" applyAlignment="1">
      <alignment horizontal="centerContinuous" vertical="center" wrapText="1"/>
    </xf>
    <xf numFmtId="41" fontId="8" fillId="2" borderId="1" xfId="0" applyNumberFormat="1" applyFont="1" applyFill="1" applyBorder="1" applyAlignment="1">
      <alignment horizontal="center" vertical="center" wrapText="1"/>
    </xf>
    <xf numFmtId="41" fontId="3" fillId="3" borderId="0" xfId="4" applyNumberFormat="1" applyFont="1" applyFill="1" applyBorder="1"/>
    <xf numFmtId="41" fontId="7" fillId="3" borderId="0" xfId="0" applyNumberFormat="1" applyFont="1" applyFill="1" applyBorder="1"/>
    <xf numFmtId="41" fontId="0" fillId="3" borderId="0" xfId="0" applyNumberFormat="1" applyFill="1" applyBorder="1"/>
    <xf numFmtId="41" fontId="5" fillId="3" borderId="1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/>
    <xf numFmtId="41" fontId="5" fillId="3" borderId="3" xfId="4" applyNumberFormat="1" applyFont="1" applyFill="1" applyBorder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3829050</xdr:colOff>
      <xdr:row>0</xdr:row>
      <xdr:rowOff>28575</xdr:rowOff>
    </xdr:from>
    <xdr:to>
      <xdr:col>0</xdr:col>
      <xdr:colOff>4352925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3829050</xdr:colOff>
      <xdr:row>0</xdr:row>
      <xdr:rowOff>28575</xdr:rowOff>
    </xdr:from>
    <xdr:to>
      <xdr:col>0</xdr:col>
      <xdr:colOff>4352925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3829050</xdr:colOff>
      <xdr:row>0</xdr:row>
      <xdr:rowOff>28575</xdr:rowOff>
    </xdr:from>
    <xdr:to>
      <xdr:col>0</xdr:col>
      <xdr:colOff>4352925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3829050</xdr:colOff>
      <xdr:row>0</xdr:row>
      <xdr:rowOff>28575</xdr:rowOff>
    </xdr:from>
    <xdr:to>
      <xdr:col>0</xdr:col>
      <xdr:colOff>4352925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3829050</xdr:colOff>
      <xdr:row>0</xdr:row>
      <xdr:rowOff>28575</xdr:rowOff>
    </xdr:from>
    <xdr:to>
      <xdr:col>0</xdr:col>
      <xdr:colOff>4352925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3829050</xdr:colOff>
      <xdr:row>0</xdr:row>
      <xdr:rowOff>28575</xdr:rowOff>
    </xdr:from>
    <xdr:to>
      <xdr:col>0</xdr:col>
      <xdr:colOff>4352925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3829050</xdr:colOff>
      <xdr:row>0</xdr:row>
      <xdr:rowOff>28575</xdr:rowOff>
    </xdr:from>
    <xdr:to>
      <xdr:col>0</xdr:col>
      <xdr:colOff>4352925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3829050</xdr:colOff>
      <xdr:row>0</xdr:row>
      <xdr:rowOff>28575</xdr:rowOff>
    </xdr:from>
    <xdr:to>
      <xdr:col>0</xdr:col>
      <xdr:colOff>4352925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3829050</xdr:colOff>
      <xdr:row>0</xdr:row>
      <xdr:rowOff>28575</xdr:rowOff>
    </xdr:from>
    <xdr:to>
      <xdr:col>0</xdr:col>
      <xdr:colOff>4352925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3829050</xdr:colOff>
      <xdr:row>0</xdr:row>
      <xdr:rowOff>28575</xdr:rowOff>
    </xdr:from>
    <xdr:to>
      <xdr:col>0</xdr:col>
      <xdr:colOff>4352925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3829050</xdr:colOff>
      <xdr:row>0</xdr:row>
      <xdr:rowOff>28575</xdr:rowOff>
    </xdr:from>
    <xdr:to>
      <xdr:col>0</xdr:col>
      <xdr:colOff>4352925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3829050</xdr:colOff>
      <xdr:row>0</xdr:row>
      <xdr:rowOff>28575</xdr:rowOff>
    </xdr:from>
    <xdr:to>
      <xdr:col>0</xdr:col>
      <xdr:colOff>4352925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285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SheetLayoutView="100" workbookViewId="0">
      <selection activeCell="A4" sqref="A4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5" ht="17.25" customHeight="1">
      <c r="A4" s="6" t="s">
        <v>17</v>
      </c>
      <c r="B4" s="6">
        <v>56</v>
      </c>
      <c r="C4" s="6">
        <v>161</v>
      </c>
      <c r="D4" s="6">
        <v>19</v>
      </c>
      <c r="E4" s="6">
        <v>236</v>
      </c>
      <c r="F4" s="6">
        <v>68660</v>
      </c>
    </row>
    <row r="5" spans="1:45" ht="13.5">
      <c r="A5" s="6" t="s">
        <v>20</v>
      </c>
      <c r="B5" s="6">
        <v>374</v>
      </c>
      <c r="C5" s="6">
        <v>539</v>
      </c>
      <c r="D5" s="6">
        <v>0</v>
      </c>
      <c r="E5" s="6">
        <v>913</v>
      </c>
      <c r="F5" s="6">
        <v>285965</v>
      </c>
    </row>
    <row r="6" spans="1:45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2200</v>
      </c>
    </row>
    <row r="7" spans="1:45" ht="13.5">
      <c r="A7" s="6" t="s">
        <v>9</v>
      </c>
      <c r="B7" s="6">
        <v>6</v>
      </c>
      <c r="C7" s="6">
        <v>17</v>
      </c>
      <c r="D7" s="6">
        <v>0</v>
      </c>
      <c r="E7" s="6">
        <v>23</v>
      </c>
      <c r="F7" s="6">
        <v>6440</v>
      </c>
    </row>
    <row r="8" spans="1:45" ht="13.5">
      <c r="A8" s="6" t="s">
        <v>7</v>
      </c>
      <c r="B8" s="6">
        <v>27</v>
      </c>
      <c r="C8" s="6">
        <v>35</v>
      </c>
      <c r="D8" s="6">
        <v>0</v>
      </c>
      <c r="E8" s="6">
        <v>62</v>
      </c>
      <c r="F8" s="6">
        <v>19467.5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660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720</v>
      </c>
    </row>
    <row r="11" spans="1:45" s="3" customFormat="1" ht="13.5">
      <c r="A11" s="6" t="s">
        <v>12</v>
      </c>
      <c r="B11" s="6">
        <v>2</v>
      </c>
      <c r="C11" s="6">
        <v>3</v>
      </c>
      <c r="D11" s="6">
        <v>0</v>
      </c>
      <c r="E11" s="6">
        <v>5</v>
      </c>
      <c r="F11" s="6">
        <v>1570</v>
      </c>
    </row>
    <row r="12" spans="1:45" s="3" customFormat="1" ht="13.5">
      <c r="A12" s="6" t="s">
        <v>8</v>
      </c>
      <c r="B12" s="6">
        <v>114</v>
      </c>
      <c r="C12" s="6">
        <v>176</v>
      </c>
      <c r="D12" s="6">
        <v>0</v>
      </c>
      <c r="E12" s="6">
        <v>290</v>
      </c>
      <c r="F12" s="6">
        <v>91070</v>
      </c>
    </row>
    <row r="13" spans="1:45" s="3" customFormat="1" ht="13.5">
      <c r="A13" s="6" t="s">
        <v>18</v>
      </c>
      <c r="B13" s="6">
        <v>12</v>
      </c>
      <c r="C13" s="6">
        <v>12</v>
      </c>
      <c r="D13" s="6">
        <v>0</v>
      </c>
      <c r="E13" s="6">
        <v>24</v>
      </c>
      <c r="F13" s="6">
        <v>8040</v>
      </c>
    </row>
    <row r="14" spans="1:45" s="3" customFormat="1" ht="13.5">
      <c r="A14" s="6" t="s">
        <v>21</v>
      </c>
      <c r="B14" s="6">
        <v>2</v>
      </c>
      <c r="C14" s="6">
        <v>5</v>
      </c>
      <c r="D14" s="6">
        <v>0</v>
      </c>
      <c r="E14" s="6">
        <v>7</v>
      </c>
      <c r="F14" s="6">
        <v>1980</v>
      </c>
    </row>
    <row r="15" spans="1:45" s="3" customFormat="1" ht="13.5">
      <c r="A15" s="6" t="s">
        <v>13</v>
      </c>
      <c r="B15" s="6">
        <v>3</v>
      </c>
      <c r="C15" s="6">
        <v>6</v>
      </c>
      <c r="D15" s="6">
        <v>0</v>
      </c>
      <c r="E15" s="6">
        <v>9</v>
      </c>
      <c r="F15" s="6">
        <v>2640</v>
      </c>
    </row>
    <row r="16" spans="1:45" s="3" customFormat="1" ht="13.5">
      <c r="A16" s="6" t="s">
        <v>14</v>
      </c>
      <c r="B16" s="6">
        <v>15</v>
      </c>
      <c r="C16" s="6">
        <v>34</v>
      </c>
      <c r="D16" s="6">
        <v>0</v>
      </c>
      <c r="E16" s="6">
        <v>49</v>
      </c>
      <c r="F16" s="6">
        <v>14265</v>
      </c>
    </row>
    <row r="17" spans="1:6" ht="13.5">
      <c r="A17" s="11" t="s">
        <v>0</v>
      </c>
      <c r="B17" s="11">
        <v>614</v>
      </c>
      <c r="C17" s="11">
        <v>998</v>
      </c>
      <c r="D17" s="11">
        <v>19</v>
      </c>
      <c r="E17" s="11">
        <v>1631</v>
      </c>
      <c r="F17" s="11">
        <v>503677.5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SheetLayoutView="100" workbookViewId="0">
      <selection activeCell="A7" sqref="A7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5" ht="17.25" customHeight="1">
      <c r="A4" s="6" t="s">
        <v>17</v>
      </c>
      <c r="B4" s="6">
        <v>54</v>
      </c>
      <c r="C4" s="6">
        <v>158</v>
      </c>
      <c r="D4" s="6">
        <v>20</v>
      </c>
      <c r="E4" s="6">
        <v>232</v>
      </c>
      <c r="F4" s="6">
        <v>73755</v>
      </c>
    </row>
    <row r="5" spans="1:45" ht="13.5">
      <c r="A5" s="6" t="s">
        <v>20</v>
      </c>
      <c r="B5" s="6">
        <v>369</v>
      </c>
      <c r="C5" s="6">
        <v>535</v>
      </c>
      <c r="D5" s="6">
        <v>0</v>
      </c>
      <c r="E5" s="6">
        <v>904</v>
      </c>
      <c r="F5" s="6">
        <v>309040</v>
      </c>
    </row>
    <row r="6" spans="1:45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2400</v>
      </c>
    </row>
    <row r="7" spans="1:45" ht="13.5">
      <c r="A7" s="6" t="s">
        <v>9</v>
      </c>
      <c r="B7" s="6">
        <v>6</v>
      </c>
      <c r="C7" s="6">
        <v>17</v>
      </c>
      <c r="D7" s="6">
        <v>0</v>
      </c>
      <c r="E7" s="6">
        <v>23</v>
      </c>
      <c r="F7" s="6">
        <v>7030</v>
      </c>
    </row>
    <row r="8" spans="1:45" ht="13.5">
      <c r="A8" s="6" t="s">
        <v>7</v>
      </c>
      <c r="B8" s="6">
        <v>27</v>
      </c>
      <c r="C8" s="6">
        <v>35</v>
      </c>
      <c r="D8" s="6">
        <v>0</v>
      </c>
      <c r="E8" s="6">
        <v>62</v>
      </c>
      <c r="F8" s="6">
        <v>21313.75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720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790</v>
      </c>
    </row>
    <row r="11" spans="1:45" s="3" customFormat="1" ht="13.5">
      <c r="A11" s="6" t="s">
        <v>12</v>
      </c>
      <c r="B11" s="6">
        <v>2</v>
      </c>
      <c r="C11" s="6">
        <v>3</v>
      </c>
      <c r="D11" s="6">
        <v>0</v>
      </c>
      <c r="E11" s="6">
        <v>5</v>
      </c>
      <c r="F11" s="6">
        <v>1715</v>
      </c>
    </row>
    <row r="12" spans="1:45" s="3" customFormat="1" ht="13.5">
      <c r="A12" s="6" t="s">
        <v>8</v>
      </c>
      <c r="B12" s="6">
        <v>117</v>
      </c>
      <c r="C12" s="6">
        <v>175</v>
      </c>
      <c r="D12" s="6">
        <v>0</v>
      </c>
      <c r="E12" s="6">
        <v>292</v>
      </c>
      <c r="F12" s="6">
        <v>101025</v>
      </c>
    </row>
    <row r="13" spans="1:45" s="3" customFormat="1" ht="13.5">
      <c r="A13" s="6" t="s">
        <v>18</v>
      </c>
      <c r="B13" s="6">
        <v>12</v>
      </c>
      <c r="C13" s="6">
        <v>12</v>
      </c>
      <c r="D13" s="6">
        <v>0</v>
      </c>
      <c r="E13" s="6">
        <v>24</v>
      </c>
      <c r="F13" s="6">
        <v>8780</v>
      </c>
    </row>
    <row r="14" spans="1:45" s="3" customFormat="1" ht="13.5">
      <c r="A14" s="6" t="s">
        <v>21</v>
      </c>
      <c r="B14" s="6">
        <v>2</v>
      </c>
      <c r="C14" s="6">
        <v>5</v>
      </c>
      <c r="D14" s="6">
        <v>0</v>
      </c>
      <c r="E14" s="6">
        <v>7</v>
      </c>
      <c r="F14" s="6">
        <v>2160</v>
      </c>
    </row>
    <row r="15" spans="1:45" s="3" customFormat="1" ht="13.5">
      <c r="A15" s="6" t="s">
        <v>13</v>
      </c>
      <c r="B15" s="6">
        <v>3</v>
      </c>
      <c r="C15" s="6">
        <v>6</v>
      </c>
      <c r="D15" s="6">
        <v>0</v>
      </c>
      <c r="E15" s="6">
        <v>9</v>
      </c>
      <c r="F15" s="6">
        <v>2880</v>
      </c>
    </row>
    <row r="16" spans="1:45" s="3" customFormat="1" ht="13.5">
      <c r="A16" s="6" t="s">
        <v>14</v>
      </c>
      <c r="B16" s="6">
        <v>15</v>
      </c>
      <c r="C16" s="6">
        <v>32</v>
      </c>
      <c r="D16" s="6">
        <v>0</v>
      </c>
      <c r="E16" s="6">
        <v>47</v>
      </c>
      <c r="F16" s="6">
        <v>15160</v>
      </c>
    </row>
    <row r="17" spans="1:6" ht="13.5">
      <c r="A17" s="11" t="s">
        <v>0</v>
      </c>
      <c r="B17" s="11">
        <v>610</v>
      </c>
      <c r="C17" s="11">
        <v>988</v>
      </c>
      <c r="D17" s="11">
        <v>20</v>
      </c>
      <c r="E17" s="11">
        <v>1618</v>
      </c>
      <c r="F17" s="11">
        <v>546768.75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SheetLayoutView="100" workbookViewId="0">
      <selection activeCell="A14" sqref="A14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5" ht="17.25" customHeight="1">
      <c r="A4" s="6" t="s">
        <v>17</v>
      </c>
      <c r="B4" s="6">
        <v>55</v>
      </c>
      <c r="C4" s="6">
        <v>158</v>
      </c>
      <c r="D4" s="6">
        <v>18</v>
      </c>
      <c r="E4" s="6">
        <v>231</v>
      </c>
      <c r="F4" s="6">
        <v>73515</v>
      </c>
    </row>
    <row r="5" spans="1:45" ht="13.5">
      <c r="A5" s="6" t="s">
        <v>20</v>
      </c>
      <c r="B5" s="6">
        <v>374</v>
      </c>
      <c r="C5" s="6">
        <v>538</v>
      </c>
      <c r="D5" s="6">
        <v>0</v>
      </c>
      <c r="E5" s="6">
        <v>912</v>
      </c>
      <c r="F5" s="6">
        <v>316360</v>
      </c>
    </row>
    <row r="6" spans="1:45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2400</v>
      </c>
    </row>
    <row r="7" spans="1:45" ht="13.5">
      <c r="A7" s="6" t="s">
        <v>9</v>
      </c>
      <c r="B7" s="6">
        <v>6</v>
      </c>
      <c r="C7" s="6">
        <v>17</v>
      </c>
      <c r="D7" s="6">
        <v>0</v>
      </c>
      <c r="E7" s="6">
        <v>23</v>
      </c>
      <c r="F7" s="6">
        <v>7030</v>
      </c>
    </row>
    <row r="8" spans="1:45" ht="13.5">
      <c r="A8" s="6" t="s">
        <v>7</v>
      </c>
      <c r="B8" s="6">
        <v>27</v>
      </c>
      <c r="C8" s="6">
        <v>35</v>
      </c>
      <c r="D8" s="6">
        <v>0</v>
      </c>
      <c r="E8" s="6">
        <v>62</v>
      </c>
      <c r="F8" s="6">
        <v>21571.25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720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790</v>
      </c>
    </row>
    <row r="11" spans="1:45" s="3" customFormat="1" ht="13.5">
      <c r="A11" s="6" t="s">
        <v>12</v>
      </c>
      <c r="B11" s="6">
        <v>2</v>
      </c>
      <c r="C11" s="6">
        <v>3</v>
      </c>
      <c r="D11" s="6">
        <v>0</v>
      </c>
      <c r="E11" s="6">
        <v>5</v>
      </c>
      <c r="F11" s="6">
        <v>1715</v>
      </c>
    </row>
    <row r="12" spans="1:45" s="3" customFormat="1" ht="13.5">
      <c r="A12" s="6" t="s">
        <v>8</v>
      </c>
      <c r="B12" s="6">
        <v>116</v>
      </c>
      <c r="C12" s="6">
        <v>175</v>
      </c>
      <c r="D12" s="6">
        <v>0</v>
      </c>
      <c r="E12" s="6">
        <v>291</v>
      </c>
      <c r="F12" s="6">
        <v>100790</v>
      </c>
    </row>
    <row r="13" spans="1:45" s="3" customFormat="1" ht="13.5">
      <c r="A13" s="6" t="s">
        <v>18</v>
      </c>
      <c r="B13" s="6">
        <v>12</v>
      </c>
      <c r="C13" s="6">
        <v>12</v>
      </c>
      <c r="D13" s="6">
        <v>0</v>
      </c>
      <c r="E13" s="6">
        <v>24</v>
      </c>
      <c r="F13" s="6">
        <v>8780</v>
      </c>
    </row>
    <row r="14" spans="1:45" s="3" customFormat="1" ht="13.5">
      <c r="A14" s="6" t="s">
        <v>21</v>
      </c>
      <c r="B14" s="6">
        <v>2</v>
      </c>
      <c r="C14" s="6">
        <v>5</v>
      </c>
      <c r="D14" s="6">
        <v>0</v>
      </c>
      <c r="E14" s="6">
        <v>7</v>
      </c>
      <c r="F14" s="6">
        <v>2160</v>
      </c>
    </row>
    <row r="15" spans="1:45" s="3" customFormat="1" ht="13.5">
      <c r="A15" s="6" t="s">
        <v>13</v>
      </c>
      <c r="B15" s="6">
        <v>3</v>
      </c>
      <c r="C15" s="6">
        <v>6</v>
      </c>
      <c r="D15" s="6">
        <v>0</v>
      </c>
      <c r="E15" s="6">
        <v>9</v>
      </c>
      <c r="F15" s="6">
        <v>2880</v>
      </c>
    </row>
    <row r="16" spans="1:45" s="3" customFormat="1" ht="13.5">
      <c r="A16" s="6" t="s">
        <v>14</v>
      </c>
      <c r="B16" s="6">
        <v>15</v>
      </c>
      <c r="C16" s="6">
        <v>32</v>
      </c>
      <c r="D16" s="6">
        <v>0</v>
      </c>
      <c r="E16" s="6">
        <v>47</v>
      </c>
      <c r="F16" s="6">
        <v>15160</v>
      </c>
    </row>
    <row r="17" spans="1:6" ht="13.5">
      <c r="A17" s="11" t="s">
        <v>0</v>
      </c>
      <c r="B17" s="11">
        <v>615</v>
      </c>
      <c r="C17" s="11">
        <v>991</v>
      </c>
      <c r="D17" s="11">
        <v>18</v>
      </c>
      <c r="E17" s="11">
        <v>1624</v>
      </c>
      <c r="F17" s="11">
        <v>553871.25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SheetLayoutView="100" workbookViewId="0">
      <selection activeCell="A4" sqref="A4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5" ht="17.25" customHeight="1">
      <c r="A4" s="6" t="s">
        <v>17</v>
      </c>
      <c r="B4" s="6">
        <v>55</v>
      </c>
      <c r="C4" s="6">
        <v>159</v>
      </c>
      <c r="D4" s="6">
        <v>20</v>
      </c>
      <c r="E4" s="6">
        <v>234</v>
      </c>
      <c r="F4" s="6">
        <v>74955</v>
      </c>
    </row>
    <row r="5" spans="1:45" ht="13.5">
      <c r="A5" s="6" t="s">
        <v>20</v>
      </c>
      <c r="B5" s="6">
        <v>374</v>
      </c>
      <c r="C5" s="6">
        <v>538</v>
      </c>
      <c r="D5" s="6">
        <v>0</v>
      </c>
      <c r="E5" s="6">
        <v>912</v>
      </c>
      <c r="F5" s="6">
        <v>311610</v>
      </c>
    </row>
    <row r="6" spans="1:45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2400</v>
      </c>
    </row>
    <row r="7" spans="1:45" ht="13.5">
      <c r="A7" s="6" t="s">
        <v>9</v>
      </c>
      <c r="B7" s="6">
        <v>6</v>
      </c>
      <c r="C7" s="6">
        <v>17</v>
      </c>
      <c r="D7" s="6">
        <v>0</v>
      </c>
      <c r="E7" s="6">
        <v>23</v>
      </c>
      <c r="F7" s="6">
        <v>7030</v>
      </c>
    </row>
    <row r="8" spans="1:45" ht="13.5">
      <c r="A8" s="6" t="s">
        <v>7</v>
      </c>
      <c r="B8" s="6">
        <v>27</v>
      </c>
      <c r="C8" s="6">
        <v>35</v>
      </c>
      <c r="D8" s="6">
        <v>0</v>
      </c>
      <c r="E8" s="6">
        <v>62</v>
      </c>
      <c r="F8" s="6">
        <v>21640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720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790</v>
      </c>
    </row>
    <row r="11" spans="1:45" s="3" customFormat="1" ht="13.5">
      <c r="A11" s="6" t="s">
        <v>12</v>
      </c>
      <c r="B11" s="6">
        <v>2</v>
      </c>
      <c r="C11" s="6">
        <v>3</v>
      </c>
      <c r="D11" s="6">
        <v>0</v>
      </c>
      <c r="E11" s="6">
        <v>5</v>
      </c>
      <c r="F11" s="6">
        <v>1715</v>
      </c>
    </row>
    <row r="12" spans="1:45" s="3" customFormat="1" ht="13.5">
      <c r="A12" s="6" t="s">
        <v>8</v>
      </c>
      <c r="B12" s="6">
        <v>118</v>
      </c>
      <c r="C12" s="6">
        <v>175</v>
      </c>
      <c r="D12" s="6">
        <v>0</v>
      </c>
      <c r="E12" s="6">
        <v>293</v>
      </c>
      <c r="F12" s="6">
        <v>101570</v>
      </c>
    </row>
    <row r="13" spans="1:45" s="3" customFormat="1" ht="13.5">
      <c r="A13" s="6" t="s">
        <v>18</v>
      </c>
      <c r="B13" s="6">
        <v>12</v>
      </c>
      <c r="C13" s="6">
        <v>12</v>
      </c>
      <c r="D13" s="6">
        <v>0</v>
      </c>
      <c r="E13" s="6">
        <v>24</v>
      </c>
      <c r="F13" s="6">
        <v>8780</v>
      </c>
    </row>
    <row r="14" spans="1:45" s="3" customFormat="1" ht="13.5">
      <c r="A14" s="6" t="s">
        <v>21</v>
      </c>
      <c r="B14" s="6">
        <v>2</v>
      </c>
      <c r="C14" s="6">
        <v>5</v>
      </c>
      <c r="D14" s="6">
        <v>0</v>
      </c>
      <c r="E14" s="6">
        <v>7</v>
      </c>
      <c r="F14" s="6">
        <v>2160</v>
      </c>
    </row>
    <row r="15" spans="1:45" s="3" customFormat="1" ht="13.5">
      <c r="A15" s="6" t="s">
        <v>13</v>
      </c>
      <c r="B15" s="6">
        <v>3</v>
      </c>
      <c r="C15" s="6">
        <v>6</v>
      </c>
      <c r="D15" s="6">
        <v>0</v>
      </c>
      <c r="E15" s="6">
        <v>9</v>
      </c>
      <c r="F15" s="6">
        <v>2880</v>
      </c>
    </row>
    <row r="16" spans="1:45" s="3" customFormat="1" ht="13.5">
      <c r="A16" s="6" t="s">
        <v>14</v>
      </c>
      <c r="B16" s="6">
        <v>15</v>
      </c>
      <c r="C16" s="6">
        <v>32</v>
      </c>
      <c r="D16" s="6">
        <v>0</v>
      </c>
      <c r="E16" s="6">
        <v>47</v>
      </c>
      <c r="F16" s="6">
        <v>15160</v>
      </c>
    </row>
    <row r="17" spans="1:6" ht="13.5">
      <c r="A17" s="11" t="s">
        <v>0</v>
      </c>
      <c r="B17" s="11">
        <v>617</v>
      </c>
      <c r="C17" s="11">
        <v>992</v>
      </c>
      <c r="D17" s="11">
        <v>20</v>
      </c>
      <c r="E17" s="11">
        <v>1629</v>
      </c>
      <c r="F17" s="11">
        <v>551410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SheetLayoutView="100" workbookViewId="0">
      <selection activeCell="A8" sqref="A8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5" ht="17.25" customHeight="1">
      <c r="A4" s="6" t="s">
        <v>17</v>
      </c>
      <c r="B4" s="6">
        <v>55</v>
      </c>
      <c r="C4" s="6">
        <v>159</v>
      </c>
      <c r="D4" s="6">
        <v>20</v>
      </c>
      <c r="E4" s="6">
        <v>234</v>
      </c>
      <c r="F4" s="6">
        <v>74510</v>
      </c>
    </row>
    <row r="5" spans="1:45" ht="13.5">
      <c r="A5" s="6" t="s">
        <v>20</v>
      </c>
      <c r="B5" s="6">
        <v>375</v>
      </c>
      <c r="C5" s="6">
        <v>539</v>
      </c>
      <c r="D5" s="6">
        <v>0</v>
      </c>
      <c r="E5" s="6">
        <v>914</v>
      </c>
      <c r="F5" s="6">
        <v>312575</v>
      </c>
    </row>
    <row r="6" spans="1:45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2400</v>
      </c>
    </row>
    <row r="7" spans="1:45" ht="13.5">
      <c r="A7" s="6" t="s">
        <v>9</v>
      </c>
      <c r="B7" s="6">
        <v>6</v>
      </c>
      <c r="C7" s="6">
        <v>17</v>
      </c>
      <c r="D7" s="6">
        <v>0</v>
      </c>
      <c r="E7" s="6">
        <v>23</v>
      </c>
      <c r="F7" s="6">
        <v>7030</v>
      </c>
    </row>
    <row r="8" spans="1:45" ht="13.5">
      <c r="A8" s="6" t="s">
        <v>7</v>
      </c>
      <c r="B8" s="6">
        <v>27</v>
      </c>
      <c r="C8" s="6">
        <v>35</v>
      </c>
      <c r="D8" s="6">
        <v>0</v>
      </c>
      <c r="E8" s="6">
        <v>62</v>
      </c>
      <c r="F8" s="6">
        <v>21675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720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790</v>
      </c>
    </row>
    <row r="11" spans="1:45" s="3" customFormat="1" ht="13.5">
      <c r="A11" s="6" t="s">
        <v>12</v>
      </c>
      <c r="B11" s="6">
        <v>2</v>
      </c>
      <c r="C11" s="6">
        <v>4</v>
      </c>
      <c r="D11" s="6">
        <v>0</v>
      </c>
      <c r="E11" s="6">
        <v>6</v>
      </c>
      <c r="F11" s="6">
        <v>1955</v>
      </c>
    </row>
    <row r="12" spans="1:45" s="3" customFormat="1" ht="13.5">
      <c r="A12" s="6" t="s">
        <v>8</v>
      </c>
      <c r="B12" s="6">
        <v>118</v>
      </c>
      <c r="C12" s="6">
        <v>175</v>
      </c>
      <c r="D12" s="6">
        <v>0</v>
      </c>
      <c r="E12" s="6">
        <v>293</v>
      </c>
      <c r="F12" s="6">
        <v>101090</v>
      </c>
    </row>
    <row r="13" spans="1:45" s="3" customFormat="1" ht="13.5">
      <c r="A13" s="6" t="s">
        <v>18</v>
      </c>
      <c r="B13" s="6">
        <v>12</v>
      </c>
      <c r="C13" s="6">
        <v>12</v>
      </c>
      <c r="D13" s="6">
        <v>0</v>
      </c>
      <c r="E13" s="6">
        <v>24</v>
      </c>
      <c r="F13" s="6">
        <v>8780</v>
      </c>
    </row>
    <row r="14" spans="1:45" s="3" customFormat="1" ht="13.5">
      <c r="A14" s="6" t="s">
        <v>21</v>
      </c>
      <c r="B14" s="6">
        <v>2</v>
      </c>
      <c r="C14" s="6">
        <v>5</v>
      </c>
      <c r="D14" s="6">
        <v>0</v>
      </c>
      <c r="E14" s="6">
        <v>7</v>
      </c>
      <c r="F14" s="6">
        <v>2160</v>
      </c>
    </row>
    <row r="15" spans="1:45" s="3" customFormat="1" ht="13.5">
      <c r="A15" s="6" t="s">
        <v>13</v>
      </c>
      <c r="B15" s="6">
        <v>3</v>
      </c>
      <c r="C15" s="6">
        <v>6</v>
      </c>
      <c r="D15" s="6">
        <v>0</v>
      </c>
      <c r="E15" s="6">
        <v>9</v>
      </c>
      <c r="F15" s="6">
        <v>2880</v>
      </c>
    </row>
    <row r="16" spans="1:45" s="3" customFormat="1" ht="13.5">
      <c r="A16" s="6" t="s">
        <v>14</v>
      </c>
      <c r="B16" s="6">
        <v>15</v>
      </c>
      <c r="C16" s="6">
        <v>33</v>
      </c>
      <c r="D16" s="6">
        <v>0</v>
      </c>
      <c r="E16" s="6">
        <v>48</v>
      </c>
      <c r="F16" s="6">
        <v>15340</v>
      </c>
    </row>
    <row r="17" spans="1:6" ht="13.5">
      <c r="A17" s="11" t="s">
        <v>0</v>
      </c>
      <c r="B17" s="11">
        <f>SUM(B4:B16)</f>
        <v>618</v>
      </c>
      <c r="C17" s="11">
        <f t="shared" ref="C17:F17" si="0">SUM(C4:C16)</f>
        <v>995</v>
      </c>
      <c r="D17" s="11">
        <f t="shared" si="0"/>
        <v>20</v>
      </c>
      <c r="E17" s="11">
        <f t="shared" si="0"/>
        <v>1633</v>
      </c>
      <c r="F17" s="11">
        <f t="shared" si="0"/>
        <v>551905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SheetLayoutView="100" workbookViewId="0">
      <selection activeCell="A5" sqref="A5:A6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5" ht="17.25" customHeight="1">
      <c r="A4" s="6" t="s">
        <v>17</v>
      </c>
      <c r="B4" s="6">
        <v>54</v>
      </c>
      <c r="C4" s="6">
        <v>158</v>
      </c>
      <c r="D4" s="6">
        <v>20</v>
      </c>
      <c r="E4" s="6">
        <v>232</v>
      </c>
      <c r="F4" s="6">
        <v>73995</v>
      </c>
    </row>
    <row r="5" spans="1:45" ht="13.5">
      <c r="A5" s="6" t="s">
        <v>20</v>
      </c>
      <c r="B5" s="6">
        <v>375</v>
      </c>
      <c r="C5" s="6">
        <v>539</v>
      </c>
      <c r="D5" s="6">
        <v>0</v>
      </c>
      <c r="E5" s="6">
        <v>914</v>
      </c>
      <c r="F5" s="6">
        <v>312620</v>
      </c>
    </row>
    <row r="6" spans="1:45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2400</v>
      </c>
    </row>
    <row r="7" spans="1:45" ht="13.5">
      <c r="A7" s="6" t="s">
        <v>9</v>
      </c>
      <c r="B7" s="6">
        <v>5</v>
      </c>
      <c r="C7" s="6">
        <v>17</v>
      </c>
      <c r="D7" s="6">
        <v>0</v>
      </c>
      <c r="E7" s="6">
        <v>22</v>
      </c>
      <c r="F7" s="6">
        <v>6550</v>
      </c>
    </row>
    <row r="8" spans="1:45" ht="13.5">
      <c r="A8" s="6" t="s">
        <v>7</v>
      </c>
      <c r="B8" s="6">
        <v>27</v>
      </c>
      <c r="C8" s="6">
        <v>35</v>
      </c>
      <c r="D8" s="6">
        <v>0</v>
      </c>
      <c r="E8" s="6">
        <v>62</v>
      </c>
      <c r="F8" s="6">
        <v>21675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720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790</v>
      </c>
    </row>
    <row r="11" spans="1:45" s="3" customFormat="1" ht="13.5">
      <c r="A11" s="6" t="s">
        <v>12</v>
      </c>
      <c r="B11" s="6">
        <v>2</v>
      </c>
      <c r="C11" s="6">
        <v>4</v>
      </c>
      <c r="D11" s="6">
        <v>0</v>
      </c>
      <c r="E11" s="6">
        <v>6</v>
      </c>
      <c r="F11" s="6">
        <v>1955</v>
      </c>
    </row>
    <row r="12" spans="1:45" s="3" customFormat="1" ht="13.5">
      <c r="A12" s="6" t="s">
        <v>8</v>
      </c>
      <c r="B12" s="6">
        <v>122</v>
      </c>
      <c r="C12" s="6">
        <v>175</v>
      </c>
      <c r="D12" s="6">
        <v>0</v>
      </c>
      <c r="E12" s="6">
        <v>297</v>
      </c>
      <c r="F12" s="6">
        <v>102890</v>
      </c>
    </row>
    <row r="13" spans="1:45" s="3" customFormat="1" ht="13.5">
      <c r="A13" s="6" t="s">
        <v>18</v>
      </c>
      <c r="B13" s="6">
        <v>12</v>
      </c>
      <c r="C13" s="6">
        <v>12</v>
      </c>
      <c r="D13" s="6">
        <v>0</v>
      </c>
      <c r="E13" s="6">
        <v>24</v>
      </c>
      <c r="F13" s="6">
        <v>8850</v>
      </c>
    </row>
    <row r="14" spans="1:45" s="3" customFormat="1" ht="13.5">
      <c r="A14" s="6" t="s">
        <v>21</v>
      </c>
      <c r="B14" s="6">
        <v>2</v>
      </c>
      <c r="C14" s="6">
        <v>5</v>
      </c>
      <c r="D14" s="6">
        <v>0</v>
      </c>
      <c r="E14" s="6">
        <v>7</v>
      </c>
      <c r="F14" s="6">
        <v>2160</v>
      </c>
    </row>
    <row r="15" spans="1:45" s="3" customFormat="1" ht="13.5">
      <c r="A15" s="6" t="s">
        <v>13</v>
      </c>
      <c r="B15" s="6">
        <v>3</v>
      </c>
      <c r="C15" s="6">
        <v>6</v>
      </c>
      <c r="D15" s="6">
        <v>0</v>
      </c>
      <c r="E15" s="6">
        <v>9</v>
      </c>
      <c r="F15" s="6">
        <v>2880</v>
      </c>
    </row>
    <row r="16" spans="1:45" s="3" customFormat="1" ht="13.5">
      <c r="A16" s="6" t="s">
        <v>14</v>
      </c>
      <c r="B16" s="6">
        <v>15</v>
      </c>
      <c r="C16" s="6">
        <v>32</v>
      </c>
      <c r="D16" s="6">
        <v>0</v>
      </c>
      <c r="E16" s="6">
        <v>47</v>
      </c>
      <c r="F16" s="6">
        <v>15100</v>
      </c>
    </row>
    <row r="17" spans="1:6" ht="13.5">
      <c r="A17" s="11" t="s">
        <v>0</v>
      </c>
      <c r="B17" s="11">
        <f>SUM(B4:B16)</f>
        <v>620</v>
      </c>
      <c r="C17" s="11">
        <f t="shared" ref="C17:F17" si="0">SUM(C4:C16)</f>
        <v>993</v>
      </c>
      <c r="D17" s="11">
        <f t="shared" si="0"/>
        <v>20</v>
      </c>
      <c r="E17" s="11">
        <f t="shared" si="0"/>
        <v>1633</v>
      </c>
      <c r="F17" s="11">
        <f t="shared" si="0"/>
        <v>552585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SheetLayoutView="100" workbookViewId="0">
      <selection activeCell="A3" sqref="A3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5" ht="17.25" customHeight="1">
      <c r="A4" s="6" t="s">
        <v>17</v>
      </c>
      <c r="B4" s="6">
        <v>54</v>
      </c>
      <c r="C4" s="6">
        <v>161</v>
      </c>
      <c r="D4" s="6">
        <v>20</v>
      </c>
      <c r="E4" s="6">
        <v>235</v>
      </c>
      <c r="F4" s="6">
        <v>74475</v>
      </c>
    </row>
    <row r="5" spans="1:45" ht="13.5">
      <c r="A5" s="6" t="s">
        <v>20</v>
      </c>
      <c r="B5" s="6">
        <v>375</v>
      </c>
      <c r="C5" s="6">
        <v>540</v>
      </c>
      <c r="D5" s="6">
        <v>0</v>
      </c>
      <c r="E5" s="6">
        <v>915</v>
      </c>
      <c r="F5" s="6">
        <v>312715</v>
      </c>
    </row>
    <row r="6" spans="1:45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2400</v>
      </c>
    </row>
    <row r="7" spans="1:45" ht="13.5">
      <c r="A7" s="6" t="s">
        <v>9</v>
      </c>
      <c r="B7" s="6">
        <v>5</v>
      </c>
      <c r="C7" s="6">
        <v>18</v>
      </c>
      <c r="D7" s="6">
        <v>0</v>
      </c>
      <c r="E7" s="6">
        <v>23</v>
      </c>
      <c r="F7" s="6">
        <v>6790</v>
      </c>
    </row>
    <row r="8" spans="1:45" ht="13.5">
      <c r="A8" s="6" t="s">
        <v>7</v>
      </c>
      <c r="B8" s="6">
        <v>27</v>
      </c>
      <c r="C8" s="6">
        <v>35</v>
      </c>
      <c r="D8" s="6">
        <v>0</v>
      </c>
      <c r="E8" s="6">
        <v>62</v>
      </c>
      <c r="F8" s="6">
        <v>21675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720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790</v>
      </c>
    </row>
    <row r="11" spans="1:45" s="3" customFormat="1" ht="13.5">
      <c r="A11" s="6" t="s">
        <v>12</v>
      </c>
      <c r="B11" s="6">
        <v>2</v>
      </c>
      <c r="C11" s="6">
        <v>4</v>
      </c>
      <c r="D11" s="6">
        <v>0</v>
      </c>
      <c r="E11" s="6">
        <v>6</v>
      </c>
      <c r="F11" s="6">
        <v>1955</v>
      </c>
    </row>
    <row r="12" spans="1:45" s="3" customFormat="1" ht="13.5">
      <c r="A12" s="6" t="s">
        <v>8</v>
      </c>
      <c r="B12" s="6">
        <v>121</v>
      </c>
      <c r="C12" s="6">
        <v>176</v>
      </c>
      <c r="D12" s="6">
        <v>0</v>
      </c>
      <c r="E12" s="6">
        <v>297</v>
      </c>
      <c r="F12" s="6">
        <v>102530</v>
      </c>
    </row>
    <row r="13" spans="1:45" s="3" customFormat="1" ht="13.5">
      <c r="A13" s="6" t="s">
        <v>18</v>
      </c>
      <c r="B13" s="6">
        <v>12</v>
      </c>
      <c r="C13" s="6">
        <v>12</v>
      </c>
      <c r="D13" s="6">
        <v>0</v>
      </c>
      <c r="E13" s="6">
        <v>24</v>
      </c>
      <c r="F13" s="6">
        <v>8850</v>
      </c>
    </row>
    <row r="14" spans="1:45" s="3" customFormat="1" ht="13.5">
      <c r="A14" s="6" t="s">
        <v>21</v>
      </c>
      <c r="B14" s="6">
        <v>3</v>
      </c>
      <c r="C14" s="6">
        <v>5</v>
      </c>
      <c r="D14" s="6">
        <v>0</v>
      </c>
      <c r="E14" s="6">
        <v>8</v>
      </c>
      <c r="F14" s="6">
        <v>5040</v>
      </c>
    </row>
    <row r="15" spans="1:45" s="3" customFormat="1" ht="13.5">
      <c r="A15" s="6" t="s">
        <v>13</v>
      </c>
      <c r="B15" s="6">
        <v>3</v>
      </c>
      <c r="C15" s="6">
        <v>5</v>
      </c>
      <c r="D15" s="6">
        <v>0</v>
      </c>
      <c r="E15" s="6">
        <v>8</v>
      </c>
      <c r="F15" s="6">
        <v>2640</v>
      </c>
    </row>
    <row r="16" spans="1:45" s="3" customFormat="1" ht="13.5">
      <c r="A16" s="6" t="s">
        <v>14</v>
      </c>
      <c r="B16" s="6">
        <v>15</v>
      </c>
      <c r="C16" s="6">
        <v>32</v>
      </c>
      <c r="D16" s="6">
        <v>0</v>
      </c>
      <c r="E16" s="6">
        <v>47</v>
      </c>
      <c r="F16" s="6">
        <v>15160</v>
      </c>
    </row>
    <row r="17" spans="1:6" ht="13.5">
      <c r="A17" s="11" t="s">
        <v>0</v>
      </c>
      <c r="B17" s="11">
        <f>SUM(B4:B16)</f>
        <v>620</v>
      </c>
      <c r="C17" s="11">
        <f t="shared" ref="C17:F17" si="0">SUM(C4:C16)</f>
        <v>998</v>
      </c>
      <c r="D17" s="11">
        <f t="shared" si="0"/>
        <v>20</v>
      </c>
      <c r="E17" s="11">
        <f t="shared" si="0"/>
        <v>1638</v>
      </c>
      <c r="F17" s="11">
        <f t="shared" si="0"/>
        <v>555740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="90" zoomScaleSheetLayoutView="90" workbookViewId="0">
      <selection activeCell="A9" sqref="A9"/>
    </sheetView>
  </sheetViews>
  <sheetFormatPr defaultRowHeight="12.75"/>
  <cols>
    <col min="1" max="1" width="101.140625" style="2" customWidth="1"/>
    <col min="2" max="2" width="23.7109375" style="2" customWidth="1"/>
    <col min="3" max="3" width="17.85546875" style="2" customWidth="1"/>
    <col min="4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5" ht="17.25" customHeight="1">
      <c r="A4" s="6" t="s">
        <v>17</v>
      </c>
      <c r="B4" s="6">
        <v>55</v>
      </c>
      <c r="C4" s="6">
        <v>160</v>
      </c>
      <c r="D4" s="6">
        <v>20</v>
      </c>
      <c r="E4" s="6">
        <v>235</v>
      </c>
      <c r="F4" s="6">
        <v>75195</v>
      </c>
    </row>
    <row r="5" spans="1:45" ht="13.5">
      <c r="A5" s="6" t="s">
        <v>20</v>
      </c>
      <c r="B5" s="6">
        <v>375</v>
      </c>
      <c r="C5" s="6">
        <v>538</v>
      </c>
      <c r="D5" s="6">
        <v>0</v>
      </c>
      <c r="E5" s="6">
        <v>913</v>
      </c>
      <c r="F5" s="6">
        <v>312225</v>
      </c>
    </row>
    <row r="6" spans="1:45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2400</v>
      </c>
    </row>
    <row r="7" spans="1:45" ht="13.5">
      <c r="A7" s="6" t="s">
        <v>9</v>
      </c>
      <c r="B7" s="6">
        <v>6</v>
      </c>
      <c r="C7" s="6">
        <v>18</v>
      </c>
      <c r="D7" s="6">
        <v>0</v>
      </c>
      <c r="E7" s="6">
        <v>24</v>
      </c>
      <c r="F7" s="6">
        <v>7270</v>
      </c>
    </row>
    <row r="8" spans="1:45" ht="13.5">
      <c r="A8" s="6" t="s">
        <v>7</v>
      </c>
      <c r="B8" s="6">
        <v>27</v>
      </c>
      <c r="C8" s="6">
        <v>35</v>
      </c>
      <c r="D8" s="6">
        <v>0</v>
      </c>
      <c r="E8" s="6">
        <v>62</v>
      </c>
      <c r="F8" s="6">
        <v>21615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720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790</v>
      </c>
    </row>
    <row r="11" spans="1:45" s="3" customFormat="1" ht="13.5">
      <c r="A11" s="6" t="s">
        <v>12</v>
      </c>
      <c r="B11" s="6">
        <v>2</v>
      </c>
      <c r="C11" s="6">
        <v>4</v>
      </c>
      <c r="D11" s="6">
        <v>0</v>
      </c>
      <c r="E11" s="6">
        <v>6</v>
      </c>
      <c r="F11" s="6">
        <v>1955</v>
      </c>
    </row>
    <row r="12" spans="1:45" s="3" customFormat="1" ht="13.5">
      <c r="A12" s="6" t="s">
        <v>8</v>
      </c>
      <c r="B12" s="6">
        <v>121</v>
      </c>
      <c r="C12" s="6">
        <v>176</v>
      </c>
      <c r="D12" s="6">
        <v>0</v>
      </c>
      <c r="E12" s="6">
        <v>297</v>
      </c>
      <c r="F12" s="6">
        <v>102710</v>
      </c>
    </row>
    <row r="13" spans="1:45" s="3" customFormat="1" ht="13.5">
      <c r="A13" s="6" t="s">
        <v>18</v>
      </c>
      <c r="B13" s="6">
        <v>12</v>
      </c>
      <c r="C13" s="6">
        <v>12</v>
      </c>
      <c r="D13" s="6">
        <v>0</v>
      </c>
      <c r="E13" s="6">
        <v>24</v>
      </c>
      <c r="F13" s="6">
        <v>8850</v>
      </c>
    </row>
    <row r="14" spans="1:45" s="3" customFormat="1" ht="13.5">
      <c r="A14" s="6" t="s">
        <v>21</v>
      </c>
      <c r="B14" s="6">
        <v>3</v>
      </c>
      <c r="C14" s="6">
        <v>5</v>
      </c>
      <c r="D14" s="6">
        <v>0</v>
      </c>
      <c r="E14" s="6">
        <v>8</v>
      </c>
      <c r="F14" s="6">
        <v>2640</v>
      </c>
    </row>
    <row r="15" spans="1:45" s="3" customFormat="1" ht="13.5">
      <c r="A15" s="6" t="s">
        <v>13</v>
      </c>
      <c r="B15" s="6">
        <v>3</v>
      </c>
      <c r="C15" s="6">
        <v>5</v>
      </c>
      <c r="D15" s="6">
        <v>0</v>
      </c>
      <c r="E15" s="6">
        <v>8</v>
      </c>
      <c r="F15" s="6">
        <v>2640</v>
      </c>
    </row>
    <row r="16" spans="1:45" s="3" customFormat="1" ht="13.5">
      <c r="A16" s="6" t="s">
        <v>14</v>
      </c>
      <c r="B16" s="6">
        <v>15</v>
      </c>
      <c r="C16" s="6">
        <v>32</v>
      </c>
      <c r="D16" s="6">
        <v>0</v>
      </c>
      <c r="E16" s="6">
        <v>47</v>
      </c>
      <c r="F16" s="6">
        <v>15160</v>
      </c>
    </row>
    <row r="17" spans="1:6" ht="13.5">
      <c r="A17" s="11" t="s">
        <v>0</v>
      </c>
      <c r="B17" s="11">
        <v>622</v>
      </c>
      <c r="C17" s="11">
        <v>995</v>
      </c>
      <c r="D17" s="11">
        <v>20</v>
      </c>
      <c r="E17" s="11">
        <v>1637</v>
      </c>
      <c r="F17" s="11">
        <v>554170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="90" zoomScaleSheetLayoutView="90" workbookViewId="0">
      <selection activeCell="A7" sqref="A7"/>
    </sheetView>
  </sheetViews>
  <sheetFormatPr defaultRowHeight="12.75"/>
  <cols>
    <col min="1" max="1" width="101.140625" style="2" customWidth="1"/>
    <col min="2" max="2" width="23.7109375" style="2" customWidth="1"/>
    <col min="3" max="3" width="17.85546875" style="2" customWidth="1"/>
    <col min="4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5" ht="17.25" customHeight="1">
      <c r="A4" s="6" t="s">
        <v>17</v>
      </c>
      <c r="B4" s="6">
        <v>56</v>
      </c>
      <c r="C4" s="6">
        <v>160</v>
      </c>
      <c r="D4" s="6">
        <v>18</v>
      </c>
      <c r="E4" s="6">
        <v>234</v>
      </c>
      <c r="F4" s="6">
        <v>74715</v>
      </c>
    </row>
    <row r="5" spans="1:45" ht="13.5">
      <c r="A5" s="6" t="s">
        <v>20</v>
      </c>
      <c r="B5" s="6">
        <v>374</v>
      </c>
      <c r="C5" s="6">
        <v>538</v>
      </c>
      <c r="D5" s="6">
        <v>0</v>
      </c>
      <c r="E5" s="6">
        <v>912</v>
      </c>
      <c r="F5" s="6">
        <v>312105</v>
      </c>
    </row>
    <row r="6" spans="1:45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2400</v>
      </c>
    </row>
    <row r="7" spans="1:45" ht="13.5">
      <c r="A7" s="6" t="s">
        <v>9</v>
      </c>
      <c r="B7" s="6">
        <v>6</v>
      </c>
      <c r="C7" s="6">
        <v>18</v>
      </c>
      <c r="D7" s="6">
        <v>0</v>
      </c>
      <c r="E7" s="6">
        <v>24</v>
      </c>
      <c r="F7" s="6">
        <v>7270</v>
      </c>
    </row>
    <row r="8" spans="1:45" ht="13.5">
      <c r="A8" s="6" t="s">
        <v>7</v>
      </c>
      <c r="B8" s="6">
        <v>27</v>
      </c>
      <c r="C8" s="6">
        <v>35</v>
      </c>
      <c r="D8" s="6">
        <v>0</v>
      </c>
      <c r="E8" s="6">
        <v>62</v>
      </c>
      <c r="F8" s="6">
        <v>21675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720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790</v>
      </c>
    </row>
    <row r="11" spans="1:45" s="3" customFormat="1" ht="13.5">
      <c r="A11" s="6" t="s">
        <v>12</v>
      </c>
      <c r="B11" s="6">
        <v>2</v>
      </c>
      <c r="C11" s="6">
        <v>4</v>
      </c>
      <c r="D11" s="6">
        <v>0</v>
      </c>
      <c r="E11" s="6">
        <v>6</v>
      </c>
      <c r="F11" s="6">
        <v>1955</v>
      </c>
    </row>
    <row r="12" spans="1:45" s="3" customFormat="1" ht="13.5">
      <c r="A12" s="6" t="s">
        <v>8</v>
      </c>
      <c r="B12" s="6">
        <v>121</v>
      </c>
      <c r="C12" s="6">
        <v>174</v>
      </c>
      <c r="D12" s="6">
        <v>0</v>
      </c>
      <c r="E12" s="6">
        <v>295</v>
      </c>
      <c r="F12" s="6">
        <v>103320</v>
      </c>
    </row>
    <row r="13" spans="1:45" s="3" customFormat="1" ht="13.5">
      <c r="A13" s="6" t="s">
        <v>18</v>
      </c>
      <c r="B13" s="6">
        <v>12</v>
      </c>
      <c r="C13" s="6">
        <v>12</v>
      </c>
      <c r="D13" s="6">
        <v>0</v>
      </c>
      <c r="E13" s="6">
        <v>24</v>
      </c>
      <c r="F13" s="6">
        <v>8850</v>
      </c>
    </row>
    <row r="14" spans="1:45" s="3" customFormat="1" ht="13.5">
      <c r="A14" s="6" t="s">
        <v>21</v>
      </c>
      <c r="B14" s="6">
        <v>3</v>
      </c>
      <c r="C14" s="6">
        <v>4</v>
      </c>
      <c r="D14" s="6">
        <v>0</v>
      </c>
      <c r="E14" s="6">
        <v>7</v>
      </c>
      <c r="F14" s="6">
        <v>2400</v>
      </c>
    </row>
    <row r="15" spans="1:45" s="3" customFormat="1" ht="13.5">
      <c r="A15" s="6" t="s">
        <v>13</v>
      </c>
      <c r="B15" s="6">
        <v>4</v>
      </c>
      <c r="C15" s="6">
        <v>5</v>
      </c>
      <c r="D15" s="6">
        <v>0</v>
      </c>
      <c r="E15" s="6">
        <v>9</v>
      </c>
      <c r="F15" s="6">
        <v>3120</v>
      </c>
    </row>
    <row r="16" spans="1:45" s="3" customFormat="1" ht="13.5">
      <c r="A16" s="6" t="s">
        <v>14</v>
      </c>
      <c r="B16" s="6">
        <v>15</v>
      </c>
      <c r="C16" s="6">
        <v>31</v>
      </c>
      <c r="D16" s="6">
        <v>0</v>
      </c>
      <c r="E16" s="6">
        <v>46</v>
      </c>
      <c r="F16" s="6">
        <v>14920</v>
      </c>
    </row>
    <row r="17" spans="1:6" ht="13.5">
      <c r="A17" s="11" t="s">
        <v>0</v>
      </c>
      <c r="B17" s="11">
        <v>623</v>
      </c>
      <c r="C17" s="11">
        <v>991</v>
      </c>
      <c r="D17" s="11">
        <v>18</v>
      </c>
      <c r="E17" s="11">
        <v>1632</v>
      </c>
      <c r="F17" s="11">
        <v>554240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9"/>
  <sheetViews>
    <sheetView showGridLines="0" view="pageBreakPreview" zoomScale="90" zoomScaleSheetLayoutView="90" workbookViewId="0">
      <selection activeCell="A7" sqref="A7"/>
    </sheetView>
  </sheetViews>
  <sheetFormatPr defaultRowHeight="12.75"/>
  <cols>
    <col min="1" max="1" width="101.140625" style="2" customWidth="1"/>
    <col min="2" max="2" width="23.7109375" style="2" customWidth="1"/>
    <col min="3" max="3" width="17.85546875" style="2" customWidth="1"/>
    <col min="4" max="6" width="21.28515625" style="2" customWidth="1"/>
    <col min="7" max="16384" width="9.140625" style="2"/>
  </cols>
  <sheetData>
    <row r="1" spans="1:44" ht="80.099999999999994" customHeight="1">
      <c r="A1" s="5" t="s">
        <v>22</v>
      </c>
      <c r="B1" s="5"/>
      <c r="C1" s="5"/>
      <c r="D1" s="5"/>
      <c r="E1" s="5"/>
      <c r="F1" s="5"/>
    </row>
    <row r="2" spans="1:44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4" ht="17.25" customHeight="1">
      <c r="A4" s="6" t="s">
        <v>17</v>
      </c>
      <c r="B4" s="6">
        <v>54</v>
      </c>
      <c r="C4" s="6">
        <v>162</v>
      </c>
      <c r="D4" s="6">
        <v>18</v>
      </c>
      <c r="E4" s="6">
        <v>234</v>
      </c>
      <c r="F4" s="6">
        <v>74715</v>
      </c>
    </row>
    <row r="5" spans="1:44" ht="13.5">
      <c r="A5" s="6" t="s">
        <v>20</v>
      </c>
      <c r="B5" s="6">
        <v>374</v>
      </c>
      <c r="C5" s="6">
        <v>537</v>
      </c>
      <c r="D5" s="6">
        <v>0</v>
      </c>
      <c r="E5" s="6">
        <v>911</v>
      </c>
      <c r="F5" s="6">
        <v>311660</v>
      </c>
    </row>
    <row r="6" spans="1:44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2340</v>
      </c>
    </row>
    <row r="7" spans="1:44" ht="13.5">
      <c r="A7" s="6" t="s">
        <v>9</v>
      </c>
      <c r="B7" s="6">
        <v>6</v>
      </c>
      <c r="C7" s="6">
        <v>18</v>
      </c>
      <c r="D7" s="6">
        <v>0</v>
      </c>
      <c r="E7" s="6">
        <v>23</v>
      </c>
      <c r="F7" s="6">
        <v>7030</v>
      </c>
    </row>
    <row r="8" spans="1:44" ht="13.5">
      <c r="A8" s="6" t="s">
        <v>7</v>
      </c>
      <c r="B8" s="6">
        <v>27</v>
      </c>
      <c r="C8" s="6">
        <v>35</v>
      </c>
      <c r="D8" s="6">
        <v>0</v>
      </c>
      <c r="E8" s="6">
        <v>62</v>
      </c>
      <c r="F8" s="6">
        <v>21675</v>
      </c>
    </row>
    <row r="9" spans="1:44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720</v>
      </c>
    </row>
    <row r="10" spans="1:44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790</v>
      </c>
    </row>
    <row r="11" spans="1:44" s="3" customFormat="1" ht="13.5">
      <c r="A11" s="6" t="s">
        <v>12</v>
      </c>
      <c r="B11" s="6">
        <v>2</v>
      </c>
      <c r="C11" s="6">
        <v>4</v>
      </c>
      <c r="D11" s="6">
        <v>0</v>
      </c>
      <c r="E11" s="6">
        <v>6</v>
      </c>
      <c r="F11" s="6">
        <v>1955</v>
      </c>
    </row>
    <row r="12" spans="1:44" s="3" customFormat="1" ht="13.5">
      <c r="A12" s="6" t="s">
        <v>8</v>
      </c>
      <c r="B12" s="6">
        <v>122</v>
      </c>
      <c r="C12" s="6">
        <v>173</v>
      </c>
      <c r="D12" s="6">
        <v>0</v>
      </c>
      <c r="E12" s="6">
        <v>295</v>
      </c>
      <c r="F12" s="6">
        <v>102840</v>
      </c>
    </row>
    <row r="13" spans="1:44" s="3" customFormat="1" ht="13.5">
      <c r="A13" s="6" t="s">
        <v>18</v>
      </c>
      <c r="B13" s="6">
        <v>12</v>
      </c>
      <c r="C13" s="6">
        <v>12</v>
      </c>
      <c r="D13" s="6">
        <v>0</v>
      </c>
      <c r="E13" s="6">
        <v>24</v>
      </c>
      <c r="F13" s="6">
        <v>8850</v>
      </c>
    </row>
    <row r="14" spans="1:44" s="3" customFormat="1" ht="13.5">
      <c r="A14" s="6" t="s">
        <v>21</v>
      </c>
      <c r="B14" s="6">
        <v>3</v>
      </c>
      <c r="C14" s="6">
        <v>4</v>
      </c>
      <c r="D14" s="6">
        <v>0</v>
      </c>
      <c r="E14" s="6">
        <v>7</v>
      </c>
      <c r="F14" s="6">
        <v>2400</v>
      </c>
    </row>
    <row r="15" spans="1:44" s="3" customFormat="1" ht="13.5">
      <c r="A15" s="6" t="s">
        <v>13</v>
      </c>
      <c r="B15" s="6">
        <v>4</v>
      </c>
      <c r="C15" s="6">
        <v>6</v>
      </c>
      <c r="D15" s="6">
        <v>0</v>
      </c>
      <c r="E15" s="6">
        <v>9</v>
      </c>
      <c r="F15" s="6">
        <v>3120</v>
      </c>
    </row>
    <row r="16" spans="1:44" s="3" customFormat="1" ht="13.5">
      <c r="A16" s="6" t="s">
        <v>14</v>
      </c>
      <c r="B16" s="6">
        <v>15</v>
      </c>
      <c r="C16" s="6">
        <v>32</v>
      </c>
      <c r="D16" s="6">
        <v>0</v>
      </c>
      <c r="E16" s="6">
        <v>47</v>
      </c>
      <c r="F16" s="6">
        <v>15400</v>
      </c>
    </row>
    <row r="17" spans="1:6" ht="13.5">
      <c r="A17" s="11" t="s">
        <v>0</v>
      </c>
      <c r="B17" s="11">
        <v>622</v>
      </c>
      <c r="C17" s="11">
        <f>SUM(C4:C16)</f>
        <v>993</v>
      </c>
      <c r="D17" s="11">
        <v>18</v>
      </c>
      <c r="E17" s="11">
        <v>1633</v>
      </c>
      <c r="F17" s="11">
        <v>554215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="90" zoomScaleSheetLayoutView="90" workbookViewId="0">
      <selection activeCell="A8" sqref="A8"/>
    </sheetView>
  </sheetViews>
  <sheetFormatPr defaultRowHeight="12.75"/>
  <cols>
    <col min="1" max="1" width="101.140625" style="2" customWidth="1"/>
    <col min="2" max="2" width="23.7109375" style="2" customWidth="1"/>
    <col min="3" max="3" width="17.85546875" style="2" customWidth="1"/>
    <col min="4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5" ht="17.25" customHeight="1">
      <c r="A4" s="6" t="s">
        <v>17</v>
      </c>
      <c r="B4" s="6">
        <v>55</v>
      </c>
      <c r="C4" s="6">
        <v>158</v>
      </c>
      <c r="D4" s="6">
        <v>20</v>
      </c>
      <c r="E4" s="6">
        <v>232</v>
      </c>
      <c r="F4" s="6">
        <v>74235</v>
      </c>
    </row>
    <row r="5" spans="1:45" ht="13.5">
      <c r="A5" s="6" t="s">
        <v>20</v>
      </c>
      <c r="B5" s="6">
        <v>371</v>
      </c>
      <c r="C5" s="6">
        <v>536</v>
      </c>
      <c r="D5" s="6">
        <v>0</v>
      </c>
      <c r="E5" s="6">
        <v>907</v>
      </c>
      <c r="F5" s="6">
        <v>310220</v>
      </c>
    </row>
    <row r="6" spans="1:45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2400</v>
      </c>
    </row>
    <row r="7" spans="1:45" ht="13.5">
      <c r="A7" s="6" t="s">
        <v>9</v>
      </c>
      <c r="B7" s="6">
        <v>6</v>
      </c>
      <c r="C7" s="6">
        <v>18</v>
      </c>
      <c r="D7" s="6">
        <v>0</v>
      </c>
      <c r="E7" s="6">
        <v>24</v>
      </c>
      <c r="F7" s="6">
        <v>7270</v>
      </c>
    </row>
    <row r="8" spans="1:45" ht="13.5">
      <c r="A8" s="6" t="s">
        <v>7</v>
      </c>
      <c r="B8" s="6">
        <v>27</v>
      </c>
      <c r="C8" s="6">
        <v>35</v>
      </c>
      <c r="D8" s="6">
        <v>0</v>
      </c>
      <c r="E8" s="6">
        <v>62</v>
      </c>
      <c r="F8" s="6">
        <v>21675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720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790</v>
      </c>
    </row>
    <row r="11" spans="1:45" s="3" customFormat="1" ht="13.5">
      <c r="A11" s="6" t="s">
        <v>12</v>
      </c>
      <c r="B11" s="6">
        <v>2</v>
      </c>
      <c r="C11" s="6">
        <v>4</v>
      </c>
      <c r="D11" s="6">
        <v>0</v>
      </c>
      <c r="E11" s="6">
        <v>6</v>
      </c>
      <c r="F11" s="6">
        <v>1955</v>
      </c>
    </row>
    <row r="12" spans="1:45" s="3" customFormat="1" ht="13.5">
      <c r="A12" s="6" t="s">
        <v>8</v>
      </c>
      <c r="B12" s="6">
        <v>121</v>
      </c>
      <c r="C12" s="6">
        <v>176</v>
      </c>
      <c r="D12" s="6">
        <v>0</v>
      </c>
      <c r="E12" s="6">
        <v>297</v>
      </c>
      <c r="F12" s="6">
        <v>102840</v>
      </c>
    </row>
    <row r="13" spans="1:45" s="3" customFormat="1" ht="13.5">
      <c r="A13" s="6" t="s">
        <v>18</v>
      </c>
      <c r="B13" s="6">
        <v>12</v>
      </c>
      <c r="C13" s="6">
        <v>12</v>
      </c>
      <c r="D13" s="6">
        <v>0</v>
      </c>
      <c r="E13" s="6">
        <v>24</v>
      </c>
      <c r="F13" s="6">
        <v>8850</v>
      </c>
    </row>
    <row r="14" spans="1:45" s="3" customFormat="1" ht="13.5">
      <c r="A14" s="6" t="s">
        <v>21</v>
      </c>
      <c r="B14" s="6">
        <v>3</v>
      </c>
      <c r="C14" s="6">
        <v>4</v>
      </c>
      <c r="D14" s="6">
        <v>0</v>
      </c>
      <c r="E14" s="6">
        <v>7</v>
      </c>
      <c r="F14" s="6">
        <v>2400</v>
      </c>
    </row>
    <row r="15" spans="1:45" s="3" customFormat="1" ht="13.5">
      <c r="A15" s="6" t="s">
        <v>13</v>
      </c>
      <c r="B15" s="6">
        <v>5</v>
      </c>
      <c r="C15" s="6">
        <v>6</v>
      </c>
      <c r="D15" s="6">
        <v>0</v>
      </c>
      <c r="E15" s="6">
        <v>11</v>
      </c>
      <c r="F15" s="6">
        <v>3840</v>
      </c>
    </row>
    <row r="16" spans="1:45" s="3" customFormat="1" ht="13.5">
      <c r="A16" s="6" t="s">
        <v>14</v>
      </c>
      <c r="B16" s="6">
        <v>15</v>
      </c>
      <c r="C16" s="6">
        <v>32</v>
      </c>
      <c r="D16" s="6">
        <v>0</v>
      </c>
      <c r="E16" s="6">
        <v>47</v>
      </c>
      <c r="F16" s="6">
        <v>15160</v>
      </c>
    </row>
    <row r="17" spans="1:6" ht="13.5">
      <c r="A17" s="11" t="s">
        <v>0</v>
      </c>
      <c r="B17" s="11">
        <v>620</v>
      </c>
      <c r="C17" s="11">
        <v>991</v>
      </c>
      <c r="D17" s="11">
        <v>20</v>
      </c>
      <c r="E17" s="11">
        <v>1631</v>
      </c>
      <c r="F17" s="11">
        <v>553315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tabSelected="1" view="pageBreakPreview" topLeftCell="A4" zoomScale="90" zoomScaleSheetLayoutView="90" workbookViewId="0">
      <selection activeCell="A9" sqref="A9"/>
    </sheetView>
  </sheetViews>
  <sheetFormatPr defaultRowHeight="12.75"/>
  <cols>
    <col min="1" max="1" width="101.140625" style="2" customWidth="1"/>
    <col min="2" max="2" width="32.7109375" style="2" customWidth="1"/>
    <col min="3" max="3" width="17.85546875" style="2" customWidth="1"/>
    <col min="4" max="6" width="21.28515625" style="2" customWidth="1"/>
    <col min="7" max="16384" width="9.140625" style="2"/>
  </cols>
  <sheetData>
    <row r="1" spans="1:45" ht="80.099999999999994" customHeight="1">
      <c r="A1" s="5" t="s">
        <v>22</v>
      </c>
      <c r="B1" s="5"/>
      <c r="C1" s="5"/>
      <c r="D1" s="5"/>
      <c r="E1" s="5"/>
      <c r="F1" s="5"/>
    </row>
    <row r="2" spans="1:45" ht="33">
      <c r="A2" s="4" t="s">
        <v>16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9" t="s">
        <v>2</v>
      </c>
      <c r="B3" s="9" t="s">
        <v>3</v>
      </c>
      <c r="C3" s="9" t="s">
        <v>4</v>
      </c>
      <c r="D3" s="9" t="s">
        <v>19</v>
      </c>
      <c r="E3" s="9" t="s">
        <v>5</v>
      </c>
      <c r="F3" s="9" t="s">
        <v>6</v>
      </c>
    </row>
    <row r="4" spans="1:45" ht="17.25" customHeight="1">
      <c r="A4" s="6" t="s">
        <v>17</v>
      </c>
      <c r="B4" s="6">
        <v>54</v>
      </c>
      <c r="C4" s="6">
        <v>157</v>
      </c>
      <c r="D4" s="6">
        <v>21</v>
      </c>
      <c r="E4" s="6">
        <v>232</v>
      </c>
      <c r="F4" s="6">
        <v>74475</v>
      </c>
    </row>
    <row r="5" spans="1:45" ht="13.5">
      <c r="A5" s="6" t="s">
        <v>20</v>
      </c>
      <c r="B5" s="6">
        <v>371</v>
      </c>
      <c r="C5" s="6">
        <v>535</v>
      </c>
      <c r="D5" s="6">
        <v>0</v>
      </c>
      <c r="E5" s="6">
        <v>906</v>
      </c>
      <c r="F5" s="6">
        <v>310050</v>
      </c>
    </row>
    <row r="6" spans="1:45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2400</v>
      </c>
    </row>
    <row r="7" spans="1:45" ht="13.5">
      <c r="A7" s="6" t="s">
        <v>9</v>
      </c>
      <c r="B7" s="6">
        <v>6</v>
      </c>
      <c r="C7" s="6">
        <v>18</v>
      </c>
      <c r="D7" s="6">
        <v>0</v>
      </c>
      <c r="E7" s="6">
        <v>24</v>
      </c>
      <c r="F7" s="6">
        <v>7270</v>
      </c>
    </row>
    <row r="8" spans="1:45" ht="13.5">
      <c r="A8" s="6" t="s">
        <v>7</v>
      </c>
      <c r="B8" s="6">
        <v>27</v>
      </c>
      <c r="C8" s="6">
        <v>35</v>
      </c>
      <c r="D8" s="6">
        <v>0</v>
      </c>
      <c r="E8" s="6">
        <v>62</v>
      </c>
      <c r="F8" s="6">
        <v>21675</v>
      </c>
    </row>
    <row r="9" spans="1:45" s="3" customFormat="1" ht="13.5">
      <c r="A9" s="6" t="s">
        <v>10</v>
      </c>
      <c r="B9" s="6">
        <v>0</v>
      </c>
      <c r="C9" s="6">
        <v>3</v>
      </c>
      <c r="D9" s="6">
        <v>0</v>
      </c>
      <c r="E9" s="6">
        <v>3</v>
      </c>
      <c r="F9" s="6">
        <v>720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790</v>
      </c>
    </row>
    <row r="11" spans="1:45" s="3" customFormat="1" ht="13.5">
      <c r="A11" s="6" t="s">
        <v>12</v>
      </c>
      <c r="B11" s="6">
        <v>2</v>
      </c>
      <c r="C11" s="6">
        <v>4</v>
      </c>
      <c r="D11" s="6">
        <v>0</v>
      </c>
      <c r="E11" s="6">
        <v>6</v>
      </c>
      <c r="F11" s="6">
        <v>1955</v>
      </c>
    </row>
    <row r="12" spans="1:45" s="3" customFormat="1" ht="13.5">
      <c r="A12" s="6" t="s">
        <v>8</v>
      </c>
      <c r="B12" s="6">
        <v>121</v>
      </c>
      <c r="C12" s="6">
        <v>177</v>
      </c>
      <c r="D12" s="6">
        <v>0</v>
      </c>
      <c r="E12" s="6">
        <v>298</v>
      </c>
      <c r="F12" s="6">
        <v>103260</v>
      </c>
    </row>
    <row r="13" spans="1:45" s="3" customFormat="1" ht="13.5">
      <c r="A13" s="6" t="s">
        <v>18</v>
      </c>
      <c r="B13" s="6">
        <v>12</v>
      </c>
      <c r="C13" s="6">
        <v>12</v>
      </c>
      <c r="D13" s="6">
        <v>0</v>
      </c>
      <c r="E13" s="6">
        <v>24</v>
      </c>
      <c r="F13" s="6">
        <v>8850</v>
      </c>
    </row>
    <row r="14" spans="1:45" s="3" customFormat="1" ht="13.5">
      <c r="A14" s="6" t="s">
        <v>21</v>
      </c>
      <c r="B14" s="6">
        <v>3</v>
      </c>
      <c r="C14" s="6">
        <v>4</v>
      </c>
      <c r="D14" s="6">
        <v>0</v>
      </c>
      <c r="E14" s="6">
        <v>7</v>
      </c>
      <c r="F14" s="6">
        <v>2400</v>
      </c>
    </row>
    <row r="15" spans="1:45" s="3" customFormat="1" ht="13.5">
      <c r="A15" s="6" t="s">
        <v>13</v>
      </c>
      <c r="B15" s="6">
        <v>6</v>
      </c>
      <c r="C15" s="6">
        <v>5</v>
      </c>
      <c r="D15" s="6">
        <v>0</v>
      </c>
      <c r="E15" s="6">
        <v>11</v>
      </c>
      <c r="F15" s="6">
        <v>4080</v>
      </c>
    </row>
    <row r="16" spans="1:45" s="3" customFormat="1" ht="13.5">
      <c r="A16" s="6" t="s">
        <v>14</v>
      </c>
      <c r="B16" s="6">
        <v>15</v>
      </c>
      <c r="C16" s="6">
        <v>32</v>
      </c>
      <c r="D16" s="6">
        <v>0</v>
      </c>
      <c r="E16" s="6">
        <v>47</v>
      </c>
      <c r="F16" s="6">
        <v>15160</v>
      </c>
    </row>
    <row r="17" spans="1:6" ht="13.5">
      <c r="A17" s="11" t="s">
        <v>0</v>
      </c>
      <c r="B17" s="11">
        <v>620</v>
      </c>
      <c r="C17" s="11">
        <v>989</v>
      </c>
      <c r="D17" s="11">
        <v>21</v>
      </c>
      <c r="E17" s="11">
        <v>1630</v>
      </c>
      <c r="F17" s="11">
        <v>553085</v>
      </c>
    </row>
    <row r="18" spans="1:6" ht="13.5">
      <c r="A18" s="10"/>
      <c r="B18" s="10"/>
      <c r="C18" s="10"/>
      <c r="D18" s="10"/>
      <c r="E18" s="10"/>
      <c r="F18" s="10"/>
    </row>
    <row r="19" spans="1:6" ht="14.25">
      <c r="A19" s="7" t="s">
        <v>1</v>
      </c>
      <c r="B19" s="8"/>
      <c r="C19" s="8"/>
      <c r="D19" s="8"/>
      <c r="E19" s="8"/>
      <c r="F19" s="8"/>
    </row>
  </sheetData>
  <mergeCells count="1">
    <mergeCell ref="A1:F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 Gogishvili</cp:lastModifiedBy>
  <dcterms:created xsi:type="dcterms:W3CDTF">1996-10-14T23:33:28Z</dcterms:created>
  <dcterms:modified xsi:type="dcterms:W3CDTF">2023-03-20T08:53:27Z</dcterms:modified>
</cp:coreProperties>
</file>