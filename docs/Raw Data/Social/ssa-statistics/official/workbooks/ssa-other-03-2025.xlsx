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5\სუბსიდირების საიტის ცხრილები_2025_01-12\"/>
    </mc:Choice>
  </mc:AlternateContent>
  <xr:revisionPtr revIDLastSave="0" documentId="13_ncr:1_{057B452A-00B9-4BE7-8646-98E97C164A3C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9" r:id="rId8"/>
    <sheet name="September" sheetId="8" r:id="rId9"/>
    <sheet name="October" sheetId="10" r:id="rId10"/>
    <sheet name="November" sheetId="11" r:id="rId11"/>
    <sheet name="December" sheetId="12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2" l="1"/>
  <c r="G11" i="11"/>
  <c r="G11" i="10"/>
  <c r="G11" i="9"/>
  <c r="G11" i="8"/>
  <c r="G11" i="7"/>
  <c r="G11" i="6"/>
</calcChain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<sst xmlns="http://schemas.openxmlformats.org/spreadsheetml/2006/main" count="1056" uniqueCount="88">
  <si>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</si>
  <si>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</si>
  <si>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რეგიონი/რაიონი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</si>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</sst>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</numFmts>
  <fonts count="8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164" fontId="2" fillId="0" borderId="0" xfId="1" applyNumberFormat="1"/>
    <xf numFmtId="164" fontId="1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3" xfId="2" applyNumberFormat="1" applyFont="1" applyFill="1" applyBorder="1" applyAlignment="1"/>
    <xf numFmtId="165" fontId="4" fillId="3" borderId="3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4" fontId="2" fillId="0" borderId="0" xfId="1" applyNumberFormat="1" applyFont="1" applyAlignment="1">
      <alignment vertical="center"/>
    </xf>
    <xf numFmtId="164" fontId="5" fillId="3" borderId="0" xfId="3" applyNumberFormat="1" applyFont="1" applyFill="1" applyBorder="1" applyAlignment="1"/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1583055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86B74-BD60-4E3C-93E0-DC587448A0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1583055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7F576-578F-4B7F-BEA6-B2CAA0D141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371E8-AC21-432B-BB1A-58D62C09EC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014CD-AAFC-4DF8-92E3-75CD5B053C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D17E6-F57F-4A71-82C4-F7A139506D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454B6-4534-49C9-82F0-B1344C6398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9FB73-0DBA-40CE-9759-7F9BAED903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84F80-2199-4DBA-8675-106B8152C1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7FB5E-D533-4B90-A371-74CBFF920B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E282D-DA06-44DD-81F7-618D66C4F0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089C8-9522-4CEC-BE40-571CD454EC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showGridLines="0" view="pageBreakPreview" zoomScaleSheetLayoutView="100" workbookViewId="0">
      <selection activeCell="D20" sqref="D20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8359</v>
      </c>
      <c r="C4" s="5">
        <v>7613</v>
      </c>
      <c r="D4" s="5">
        <v>84669.33</v>
      </c>
    </row>
    <row r="5" spans="1:4" ht="13.5" outlineLevel="1" x14ac:dyDescent="0.25">
      <c r="A5" s="5" t="s">
        <v>7</v>
      </c>
      <c r="B5" s="5">
        <v>3077</v>
      </c>
      <c r="C5" s="5">
        <v>2732</v>
      </c>
      <c r="D5" s="5">
        <v>26191.14</v>
      </c>
    </row>
    <row r="6" spans="1:4" ht="13.5" outlineLevel="1" x14ac:dyDescent="0.25">
      <c r="A6" s="5" t="s">
        <v>8</v>
      </c>
      <c r="B6" s="5">
        <v>8123</v>
      </c>
      <c r="C6" s="5">
        <v>7245</v>
      </c>
      <c r="D6" s="5">
        <v>75546.63</v>
      </c>
    </row>
    <row r="7" spans="1:4" ht="13.5" outlineLevel="1" x14ac:dyDescent="0.25">
      <c r="A7" s="5" t="s">
        <v>9</v>
      </c>
      <c r="B7" s="5">
        <v>2308</v>
      </c>
      <c r="C7" s="5">
        <v>1903</v>
      </c>
      <c r="D7" s="5">
        <v>19059.87</v>
      </c>
    </row>
    <row r="8" spans="1:4" ht="13.5" outlineLevel="1" x14ac:dyDescent="0.25">
      <c r="A8" s="5" t="s">
        <v>10</v>
      </c>
      <c r="B8" s="5">
        <v>1869</v>
      </c>
      <c r="C8" s="5">
        <v>1672</v>
      </c>
      <c r="D8" s="5">
        <v>18532.849999999999</v>
      </c>
    </row>
    <row r="9" spans="1:4" s="7" customFormat="1" ht="13.5" x14ac:dyDescent="0.25">
      <c r="A9" s="6" t="s">
        <v>11</v>
      </c>
      <c r="B9" s="6">
        <v>23736</v>
      </c>
      <c r="C9" s="6">
        <v>21165</v>
      </c>
      <c r="D9" s="6">
        <v>223999.82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16</v>
      </c>
      <c r="C44" s="5">
        <v>13</v>
      </c>
      <c r="D44" s="5">
        <v>135.04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16</v>
      </c>
      <c r="C46" s="6">
        <v>13</v>
      </c>
      <c r="D46" s="6">
        <v>135.04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1767</v>
      </c>
      <c r="C69" s="5">
        <v>1549</v>
      </c>
      <c r="D69" s="5">
        <v>13222.84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1767</v>
      </c>
      <c r="C71" s="6">
        <v>1549</v>
      </c>
      <c r="D71" s="6">
        <v>13222.84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25519</v>
      </c>
      <c r="C85" s="8">
        <v>22727</v>
      </c>
      <c r="D85" s="9">
        <v>237357.7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DC8-A44D-4D25-A493-863C88EB6BC1}">
  <dimension ref="A1:D87"/>
  <sheetViews>
    <sheetView showGridLines="0" view="pageBreakPreview" zoomScaleSheetLayoutView="100" workbookViewId="0">
      <selection activeCell="A86" sqref="A86:D86"/>
    </sheetView>
  </sheetViews>
  <sheetFormatPr defaultRowHeight="12.75" outlineLevelRow="1" x14ac:dyDescent="0.2"/>
  <cols>
    <col min="1" max="1" width="38.5" style="1" customWidth="1"/>
    <col min="2" max="2" width="29.25" style="1" customWidth="1"/>
    <col min="3" max="3" width="24.875" style="1" customWidth="1"/>
    <col min="4" max="4" width="26.3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8383</v>
      </c>
      <c r="C4" s="5">
        <v>7639</v>
      </c>
      <c r="D4" s="5">
        <v>78870.3</v>
      </c>
    </row>
    <row r="5" spans="1:4" ht="13.5" outlineLevel="1" x14ac:dyDescent="0.25">
      <c r="A5" s="5" t="s">
        <v>7</v>
      </c>
      <c r="B5" s="5">
        <v>3082</v>
      </c>
      <c r="C5" s="5">
        <v>2789</v>
      </c>
      <c r="D5" s="5">
        <v>25009.040000000001</v>
      </c>
    </row>
    <row r="6" spans="1:4" ht="13.5" outlineLevel="1" x14ac:dyDescent="0.25">
      <c r="A6" s="5" t="s">
        <v>8</v>
      </c>
      <c r="B6" s="5">
        <v>8139</v>
      </c>
      <c r="C6" s="5">
        <v>7343</v>
      </c>
      <c r="D6" s="5">
        <v>72187.210000000006</v>
      </c>
    </row>
    <row r="7" spans="1:4" ht="13.5" outlineLevel="1" x14ac:dyDescent="0.25">
      <c r="A7" s="5" t="s">
        <v>9</v>
      </c>
      <c r="B7" s="5">
        <v>2316</v>
      </c>
      <c r="C7" s="5">
        <v>1919</v>
      </c>
      <c r="D7" s="5">
        <v>18503.150000000001</v>
      </c>
    </row>
    <row r="8" spans="1:4" ht="13.5" outlineLevel="1" x14ac:dyDescent="0.25">
      <c r="A8" s="5" t="s">
        <v>10</v>
      </c>
      <c r="B8" s="5">
        <v>1877</v>
      </c>
      <c r="C8" s="5">
        <v>1679</v>
      </c>
      <c r="D8" s="5">
        <v>16386.32</v>
      </c>
    </row>
    <row r="9" spans="1:4" s="7" customFormat="1" ht="13.5" x14ac:dyDescent="0.25">
      <c r="A9" s="6" t="s">
        <v>11</v>
      </c>
      <c r="B9" s="6">
        <v>23797</v>
      </c>
      <c r="C9" s="6">
        <v>21369</v>
      </c>
      <c r="D9" s="6">
        <v>210956.02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13</v>
      </c>
      <c r="D44" s="5">
        <v>106.71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13</v>
      </c>
      <c r="D46" s="6">
        <v>106.71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1774</v>
      </c>
      <c r="C69" s="5">
        <v>1542</v>
      </c>
      <c r="D69" s="5">
        <v>10599.03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1774</v>
      </c>
      <c r="C71" s="6">
        <v>1542</v>
      </c>
      <c r="D71" s="6">
        <v>10599.03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25588</v>
      </c>
      <c r="C85" s="8">
        <v>22924</v>
      </c>
      <c r="D85" s="9">
        <v>221661.75999999998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C642-E3B9-4B55-8B75-717C43DE68D7}">
  <dimension ref="A1:D90"/>
  <sheetViews>
    <sheetView showGridLines="0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38.5" style="1" customWidth="1"/>
    <col min="2" max="2" width="26.5" style="1" customWidth="1"/>
    <col min="3" max="3" width="26.25" style="1" customWidth="1"/>
    <col min="4" max="4" width="25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8398</v>
      </c>
      <c r="C4" s="5">
        <v>7657</v>
      </c>
      <c r="D4" s="5">
        <v>81717.62</v>
      </c>
    </row>
    <row r="5" spans="1:4" ht="13.5" outlineLevel="1" x14ac:dyDescent="0.25">
      <c r="A5" s="5" t="s">
        <v>7</v>
      </c>
      <c r="B5" s="5">
        <v>3074</v>
      </c>
      <c r="C5" s="5">
        <v>2780</v>
      </c>
      <c r="D5" s="5">
        <v>24813.040000000001</v>
      </c>
    </row>
    <row r="6" spans="1:4" ht="13.5" outlineLevel="1" x14ac:dyDescent="0.25">
      <c r="A6" s="5" t="s">
        <v>8</v>
      </c>
      <c r="B6" s="5">
        <v>8161</v>
      </c>
      <c r="C6" s="5">
        <v>7292</v>
      </c>
      <c r="D6" s="5">
        <v>71362.58</v>
      </c>
    </row>
    <row r="7" spans="1:4" ht="13.5" outlineLevel="1" x14ac:dyDescent="0.25">
      <c r="A7" s="5" t="s">
        <v>9</v>
      </c>
      <c r="B7" s="5">
        <v>2333</v>
      </c>
      <c r="C7" s="5">
        <v>1923</v>
      </c>
      <c r="D7" s="5">
        <v>18841.439999999999</v>
      </c>
    </row>
    <row r="8" spans="1:4" ht="13.5" outlineLevel="1" x14ac:dyDescent="0.25">
      <c r="A8" s="5" t="s">
        <v>10</v>
      </c>
      <c r="B8" s="5">
        <v>1884</v>
      </c>
      <c r="C8" s="5">
        <v>1673</v>
      </c>
      <c r="D8" s="5">
        <v>17462.52</v>
      </c>
    </row>
    <row r="9" spans="1:4" s="7" customFormat="1" ht="13.5" x14ac:dyDescent="0.25">
      <c r="A9" s="6" t="s">
        <v>11</v>
      </c>
      <c r="B9" s="6">
        <v>23850</v>
      </c>
      <c r="C9" s="6">
        <v>21325</v>
      </c>
      <c r="D9" s="6">
        <v>214197.19999999998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17</v>
      </c>
      <c r="C44" s="5">
        <v>14</v>
      </c>
      <c r="D44" s="5">
        <v>116.39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17</v>
      </c>
      <c r="C46" s="6">
        <v>14</v>
      </c>
      <c r="D46" s="6">
        <v>116.39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1772</v>
      </c>
      <c r="C69" s="5">
        <v>1548</v>
      </c>
      <c r="D69" s="5">
        <v>11572.53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1772</v>
      </c>
      <c r="C71" s="6">
        <v>1548</v>
      </c>
      <c r="D71" s="6">
        <v>11572.53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25639</v>
      </c>
      <c r="C85" s="8">
        <v>22887</v>
      </c>
      <c r="D85" s="9">
        <v>225886.12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5144-ED6D-4D23-814A-B8C978A13E97}">
  <dimension ref="A1:D90"/>
  <sheetViews>
    <sheetView showGridLines="0" view="pageBreakPreview" topLeftCell="A59" zoomScaleSheetLayoutView="100" workbookViewId="0">
      <selection activeCell="D94" sqref="D94"/>
    </sheetView>
  </sheetViews>
  <sheetFormatPr defaultRowHeight="12.75" outlineLevelRow="1" x14ac:dyDescent="0.2"/>
  <cols>
    <col min="1" max="1" width="38.5" style="1" customWidth="1"/>
    <col min="2" max="2" width="29.5" style="1" customWidth="1"/>
    <col min="3" max="3" width="24.75" style="1" customWidth="1"/>
    <col min="4" max="4" width="24.875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8427</v>
      </c>
      <c r="C4" s="5">
        <v>7669</v>
      </c>
      <c r="D4" s="5">
        <v>79748.509999999995</v>
      </c>
    </row>
    <row r="5" spans="1:4" ht="13.5" outlineLevel="1" x14ac:dyDescent="0.25">
      <c r="A5" s="5" t="s">
        <v>7</v>
      </c>
      <c r="B5" s="5">
        <v>3077</v>
      </c>
      <c r="C5" s="5">
        <v>2775</v>
      </c>
      <c r="D5" s="5">
        <v>25363.45</v>
      </c>
    </row>
    <row r="6" spans="1:4" ht="13.5" outlineLevel="1" x14ac:dyDescent="0.25">
      <c r="A6" s="5" t="s">
        <v>8</v>
      </c>
      <c r="B6" s="5">
        <v>8188</v>
      </c>
      <c r="C6" s="5">
        <v>7362</v>
      </c>
      <c r="D6" s="5">
        <v>71511.960000000006</v>
      </c>
    </row>
    <row r="7" spans="1:4" ht="13.5" outlineLevel="1" x14ac:dyDescent="0.25">
      <c r="A7" s="5" t="s">
        <v>9</v>
      </c>
      <c r="B7" s="5">
        <v>2351</v>
      </c>
      <c r="C7" s="5">
        <v>1938</v>
      </c>
      <c r="D7" s="5">
        <v>18395.18</v>
      </c>
    </row>
    <row r="8" spans="1:4" ht="13.5" outlineLevel="1" x14ac:dyDescent="0.25">
      <c r="A8" s="5" t="s">
        <v>10</v>
      </c>
      <c r="B8" s="5">
        <v>1895</v>
      </c>
      <c r="C8" s="5">
        <v>1698</v>
      </c>
      <c r="D8" s="5">
        <v>16118.91</v>
      </c>
    </row>
    <row r="9" spans="1:4" s="7" customFormat="1" ht="13.5" x14ac:dyDescent="0.25">
      <c r="A9" s="6" t="s">
        <v>11</v>
      </c>
      <c r="B9" s="6">
        <v>23938</v>
      </c>
      <c r="C9" s="6">
        <v>21442</v>
      </c>
      <c r="D9" s="6">
        <v>211138.00999999998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11</v>
      </c>
      <c r="D44" s="5">
        <v>37.92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11</v>
      </c>
      <c r="D46" s="6">
        <v>37.92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1774</v>
      </c>
      <c r="C69" s="5">
        <v>1569</v>
      </c>
      <c r="D69" s="5">
        <v>11561.47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1774</v>
      </c>
      <c r="C71" s="6">
        <v>1569</v>
      </c>
      <c r="D71" s="6">
        <v>11561.47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25726</v>
      </c>
      <c r="C85" s="8">
        <v>23022</v>
      </c>
      <c r="D85" s="9">
        <v>222737.4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13B5-8E76-477A-8880-D6535DD018E2}">
  <dimension ref="A1:D90"/>
  <sheetViews>
    <sheetView showGridLines="0" view="pageBreakPreview" zoomScaleSheetLayoutView="100" workbookViewId="0">
      <selection activeCell="H18" sqref="H18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8472</v>
      </c>
      <c r="C4" s="5">
        <v>7699</v>
      </c>
      <c r="D4" s="5">
        <v>81846.190100000007</v>
      </c>
    </row>
    <row r="5" spans="1:4" ht="13.5" outlineLevel="1" x14ac:dyDescent="0.25">
      <c r="A5" s="5" t="s">
        <v>7</v>
      </c>
      <c r="B5" s="5">
        <v>3086</v>
      </c>
      <c r="C5" s="5">
        <v>2783</v>
      </c>
      <c r="D5" s="5">
        <v>24902.722000000002</v>
      </c>
    </row>
    <row r="6" spans="1:4" ht="13.5" outlineLevel="1" x14ac:dyDescent="0.25">
      <c r="A6" s="5" t="s">
        <v>8</v>
      </c>
      <c r="B6" s="5">
        <v>8197</v>
      </c>
      <c r="C6" s="5">
        <v>7381</v>
      </c>
      <c r="D6" s="5">
        <v>74317.319099999993</v>
      </c>
    </row>
    <row r="7" spans="1:4" ht="13.5" outlineLevel="1" x14ac:dyDescent="0.25">
      <c r="A7" s="5" t="s">
        <v>9</v>
      </c>
      <c r="B7" s="5">
        <v>2359</v>
      </c>
      <c r="C7" s="5">
        <v>1930</v>
      </c>
      <c r="D7" s="5">
        <v>18193.46</v>
      </c>
    </row>
    <row r="8" spans="1:4" ht="13.5" outlineLevel="1" x14ac:dyDescent="0.25">
      <c r="A8" s="5" t="s">
        <v>10</v>
      </c>
      <c r="B8" s="5">
        <v>1899</v>
      </c>
      <c r="C8" s="5">
        <v>1679</v>
      </c>
      <c r="D8" s="5">
        <v>16499.894100000001</v>
      </c>
    </row>
    <row r="9" spans="1:4" s="7" customFormat="1" ht="13.5" x14ac:dyDescent="0.25">
      <c r="A9" s="6" t="s">
        <v>11</v>
      </c>
      <c r="B9" s="6">
        <v>24013</v>
      </c>
      <c r="C9" s="6">
        <v>21472</v>
      </c>
      <c r="D9" s="6">
        <v>215759.58530000001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12</v>
      </c>
      <c r="D44" s="5">
        <v>49.51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12</v>
      </c>
      <c r="D46" s="6">
        <v>49.51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1781</v>
      </c>
      <c r="C69" s="5">
        <v>1574</v>
      </c>
      <c r="D69" s="5">
        <v>12550.15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1781</v>
      </c>
      <c r="C71" s="6">
        <v>1574</v>
      </c>
      <c r="D71" s="6">
        <v>12550.15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25808</v>
      </c>
      <c r="C85" s="8">
        <v>23058</v>
      </c>
      <c r="D85" s="9">
        <v>228359.24530000001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F105-8A65-4858-8575-C776E6FD8CC5}">
  <dimension ref="A1:G90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8487</v>
      </c>
      <c r="C4" s="5">
        <v>7669</v>
      </c>
      <c r="D4" s="5">
        <v>83917.495999999999</v>
      </c>
    </row>
    <row r="5" spans="1:7" ht="13.5" outlineLevel="1" x14ac:dyDescent="0.25">
      <c r="A5" s="5" t="s">
        <v>7</v>
      </c>
      <c r="B5" s="5">
        <v>3085</v>
      </c>
      <c r="C5" s="5">
        <v>2754</v>
      </c>
      <c r="D5" s="5">
        <v>25944.749</v>
      </c>
    </row>
    <row r="6" spans="1:7" ht="13.5" outlineLevel="1" x14ac:dyDescent="0.25">
      <c r="A6" s="5" t="s">
        <v>8</v>
      </c>
      <c r="B6" s="5">
        <v>8201</v>
      </c>
      <c r="C6" s="5">
        <v>7325</v>
      </c>
      <c r="D6" s="5">
        <v>74792.291200000007</v>
      </c>
    </row>
    <row r="7" spans="1:7" ht="13.5" outlineLevel="1" x14ac:dyDescent="0.25">
      <c r="A7" s="5" t="s">
        <v>9</v>
      </c>
      <c r="B7" s="5">
        <v>2365</v>
      </c>
      <c r="C7" s="5">
        <v>1923</v>
      </c>
      <c r="D7" s="5">
        <v>18821.937000000002</v>
      </c>
    </row>
    <row r="8" spans="1:7" ht="13.5" outlineLevel="1" x14ac:dyDescent="0.25">
      <c r="A8" s="5" t="s">
        <v>10</v>
      </c>
      <c r="B8" s="5">
        <v>1900</v>
      </c>
      <c r="C8" s="5">
        <v>1683</v>
      </c>
      <c r="D8" s="5">
        <v>17471.445100000001</v>
      </c>
    </row>
    <row r="9" spans="1:7" s="7" customFormat="1" ht="13.5" x14ac:dyDescent="0.25">
      <c r="A9" s="6" t="s">
        <v>11</v>
      </c>
      <c r="B9" s="6">
        <v>24038</v>
      </c>
      <c r="C9" s="6">
        <v>21354</v>
      </c>
      <c r="D9" s="6">
        <v>220947.91830000002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11</v>
      </c>
      <c r="D44" s="5">
        <v>44.42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11</v>
      </c>
      <c r="D46" s="6">
        <v>44.42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1788</v>
      </c>
      <c r="C69" s="5">
        <v>1585</v>
      </c>
      <c r="D69" s="5">
        <v>12640.21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1788</v>
      </c>
      <c r="C71" s="6">
        <v>1585</v>
      </c>
      <c r="D71" s="6">
        <v>12640.21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25840</v>
      </c>
      <c r="C85" s="8">
        <v>22950</v>
      </c>
      <c r="D85" s="9">
        <v>233632.54830000002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BC6F-36EE-436B-B842-0353C2AD93C7}">
  <dimension ref="A1:G90"/>
  <sheetViews>
    <sheetView showGridLines="0" view="pageBreakPreview" zoomScaleSheetLayoutView="100" workbookViewId="0">
      <selection activeCell="M78" sqref="M78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8494</v>
      </c>
      <c r="C4" s="5">
        <v>7627</v>
      </c>
      <c r="D4" s="5">
        <v>82097.287500000006</v>
      </c>
    </row>
    <row r="5" spans="1:7" ht="13.5" outlineLevel="1" x14ac:dyDescent="0.25">
      <c r="A5" s="5" t="s">
        <v>7</v>
      </c>
      <c r="B5" s="5">
        <v>3087</v>
      </c>
      <c r="C5" s="5">
        <v>2757</v>
      </c>
      <c r="D5" s="5">
        <v>25563.623</v>
      </c>
    </row>
    <row r="6" spans="1:7" ht="13.5" outlineLevel="1" x14ac:dyDescent="0.25">
      <c r="A6" s="5" t="s">
        <v>8</v>
      </c>
      <c r="B6" s="5">
        <v>8219</v>
      </c>
      <c r="C6" s="5">
        <v>7300</v>
      </c>
      <c r="D6" s="5">
        <v>72922.305600000007</v>
      </c>
    </row>
    <row r="7" spans="1:7" ht="13.5" outlineLevel="1" x14ac:dyDescent="0.25">
      <c r="A7" s="5" t="s">
        <v>9</v>
      </c>
      <c r="B7" s="5">
        <v>2368</v>
      </c>
      <c r="C7" s="5">
        <v>1968</v>
      </c>
      <c r="D7" s="5">
        <v>22183.6711</v>
      </c>
    </row>
    <row r="8" spans="1:7" ht="13.5" outlineLevel="1" x14ac:dyDescent="0.25">
      <c r="A8" s="5" t="s">
        <v>10</v>
      </c>
      <c r="B8" s="5">
        <v>1898</v>
      </c>
      <c r="C8" s="5">
        <v>1665</v>
      </c>
      <c r="D8" s="5">
        <v>16946.837200000002</v>
      </c>
    </row>
    <row r="9" spans="1:7" s="7" customFormat="1" ht="13.5" x14ac:dyDescent="0.25">
      <c r="A9" s="6" t="s">
        <v>11</v>
      </c>
      <c r="B9" s="6">
        <v>24066</v>
      </c>
      <c r="C9" s="6">
        <v>21317</v>
      </c>
      <c r="D9" s="6">
        <v>219713.72440000004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12</v>
      </c>
      <c r="D44" s="5">
        <v>153.38999999999999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12</v>
      </c>
      <c r="D46" s="6">
        <v>153.38999999999999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1789</v>
      </c>
      <c r="C69" s="5">
        <v>1574</v>
      </c>
      <c r="D69" s="5">
        <v>11833.17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1789</v>
      </c>
      <c r="C71" s="6">
        <v>1574</v>
      </c>
      <c r="D71" s="6">
        <v>11833.17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25869</v>
      </c>
      <c r="C85" s="8">
        <v>22903</v>
      </c>
      <c r="D85" s="9">
        <v>231700.28440000006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F135-A649-4911-9E98-1D6C5EBC0928}">
  <dimension ref="A1:G90"/>
  <sheetViews>
    <sheetView showGridLines="0" view="pageBreakPreview" topLeftCell="A49" zoomScaleSheetLayoutView="100" workbookViewId="0">
      <selection activeCell="B4" sqref="B4:D85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8506</v>
      </c>
      <c r="C4" s="5">
        <v>7593</v>
      </c>
      <c r="D4" s="5">
        <v>85001.763200000001</v>
      </c>
    </row>
    <row r="5" spans="1:7" ht="13.5" outlineLevel="1" x14ac:dyDescent="0.25">
      <c r="A5" s="5" t="s">
        <v>7</v>
      </c>
      <c r="B5" s="5">
        <v>3093</v>
      </c>
      <c r="C5" s="5">
        <v>2737</v>
      </c>
      <c r="D5" s="14">
        <v>26968.797999999999</v>
      </c>
    </row>
    <row r="6" spans="1:7" ht="13.5" outlineLevel="1" x14ac:dyDescent="0.25">
      <c r="A6" s="5" t="s">
        <v>8</v>
      </c>
      <c r="B6" s="5">
        <v>8225</v>
      </c>
      <c r="C6" s="5">
        <v>7269</v>
      </c>
      <c r="D6" s="14">
        <v>74033.530400000003</v>
      </c>
    </row>
    <row r="7" spans="1:7" ht="13.5" outlineLevel="1" x14ac:dyDescent="0.25">
      <c r="A7" s="5" t="s">
        <v>9</v>
      </c>
      <c r="B7" s="5">
        <v>2377</v>
      </c>
      <c r="C7" s="5">
        <v>1931</v>
      </c>
      <c r="D7" s="14">
        <v>19407.6031</v>
      </c>
    </row>
    <row r="8" spans="1:7" ht="13.5" outlineLevel="1" x14ac:dyDescent="0.25">
      <c r="A8" s="5" t="s">
        <v>10</v>
      </c>
      <c r="B8" s="5">
        <v>1905</v>
      </c>
      <c r="C8" s="5">
        <v>1644</v>
      </c>
      <c r="D8" s="14">
        <v>18480.499100000001</v>
      </c>
    </row>
    <row r="9" spans="1:7" s="7" customFormat="1" ht="13.5" x14ac:dyDescent="0.25">
      <c r="A9" s="6" t="s">
        <v>11</v>
      </c>
      <c r="B9" s="6">
        <v>24106</v>
      </c>
      <c r="C9" s="6">
        <v>21174</v>
      </c>
      <c r="D9" s="6">
        <v>223892.19380000001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11</v>
      </c>
      <c r="D44" s="5">
        <v>57.35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11</v>
      </c>
      <c r="D46" s="6">
        <v>57.35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1791</v>
      </c>
      <c r="C69" s="5">
        <v>1559</v>
      </c>
      <c r="D69" s="5">
        <v>11873.74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1791</v>
      </c>
      <c r="C71" s="6">
        <v>1559</v>
      </c>
      <c r="D71" s="6">
        <v>11873.74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25911</v>
      </c>
      <c r="C85" s="8">
        <v>22744</v>
      </c>
      <c r="D85" s="9">
        <v>235823.2838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3"/>
    </row>
    <row r="88" spans="1:4" x14ac:dyDescent="0.2">
      <c r="A88" s="11"/>
    </row>
    <row r="89" spans="1:4" x14ac:dyDescent="0.2"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D486-38BB-470A-84FB-E6012C44E00F}">
  <dimension ref="A1:G89"/>
  <sheetViews>
    <sheetView showGridLines="0" view="pageBreakPreview" zoomScaleSheetLayoutView="100" workbookViewId="0">
      <selection activeCell="D19" sqref="D19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8519</v>
      </c>
      <c r="C4" s="5">
        <v>7611</v>
      </c>
      <c r="D4" s="5">
        <v>88402.058300000004</v>
      </c>
    </row>
    <row r="5" spans="1:7" ht="13.5" outlineLevel="1" x14ac:dyDescent="0.25">
      <c r="A5" s="5" t="s">
        <v>7</v>
      </c>
      <c r="B5" s="5">
        <v>3085</v>
      </c>
      <c r="C5" s="5">
        <v>2758</v>
      </c>
      <c r="D5" s="14">
        <v>25687.512999999999</v>
      </c>
    </row>
    <row r="6" spans="1:7" ht="13.5" outlineLevel="1" x14ac:dyDescent="0.25">
      <c r="A6" s="5" t="s">
        <v>8</v>
      </c>
      <c r="B6" s="5">
        <v>8240</v>
      </c>
      <c r="C6" s="5">
        <v>7276</v>
      </c>
      <c r="D6" s="14">
        <v>76618.692500000005</v>
      </c>
    </row>
    <row r="7" spans="1:7" ht="13.5" outlineLevel="1" x14ac:dyDescent="0.25">
      <c r="A7" s="5" t="s">
        <v>9</v>
      </c>
      <c r="B7" s="5">
        <v>2380</v>
      </c>
      <c r="C7" s="5">
        <v>1977</v>
      </c>
      <c r="D7" s="14">
        <v>20235.89</v>
      </c>
    </row>
    <row r="8" spans="1:7" ht="13.5" outlineLevel="1" x14ac:dyDescent="0.25">
      <c r="A8" s="5" t="s">
        <v>10</v>
      </c>
      <c r="B8" s="5">
        <v>1911</v>
      </c>
      <c r="C8" s="5">
        <v>1669</v>
      </c>
      <c r="D8" s="14">
        <v>18160.939200000001</v>
      </c>
    </row>
    <row r="9" spans="1:7" s="7" customFormat="1" ht="13.5" x14ac:dyDescent="0.25">
      <c r="A9" s="6" t="s">
        <v>11</v>
      </c>
      <c r="B9" s="6">
        <v>24135</v>
      </c>
      <c r="C9" s="6">
        <v>21291</v>
      </c>
      <c r="D9" s="6">
        <v>229105.09300000002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10</v>
      </c>
      <c r="D44" s="5">
        <v>50.63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10</v>
      </c>
      <c r="D46" s="6">
        <v>50.63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1788</v>
      </c>
      <c r="C69" s="5">
        <v>1549</v>
      </c>
      <c r="D69" s="5">
        <v>11218.44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1788</v>
      </c>
      <c r="C71" s="6">
        <v>1549</v>
      </c>
      <c r="D71" s="6">
        <v>11218.44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25937</v>
      </c>
      <c r="C85" s="8">
        <v>22850</v>
      </c>
      <c r="D85" s="9">
        <v>240374.16300000003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3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258C-0B7F-4691-8DEC-9719122B1741}">
  <dimension ref="A1:G92"/>
  <sheetViews>
    <sheetView showGridLines="0" view="pageBreakPreview" topLeftCell="A58" zoomScaleSheetLayoutView="100" workbookViewId="0">
      <selection activeCell="D85" sqref="D85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5" width="9" style="1"/>
    <col min="6" max="6" width="9.875" style="1" bestFit="1" customWidth="1"/>
    <col min="7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8518</v>
      </c>
      <c r="C4" s="5">
        <v>7608</v>
      </c>
      <c r="D4" s="5">
        <v>83785.310500000007</v>
      </c>
    </row>
    <row r="5" spans="1:7" ht="13.5" outlineLevel="1" x14ac:dyDescent="0.25">
      <c r="A5" s="5" t="s">
        <v>7</v>
      </c>
      <c r="B5" s="5">
        <v>3080</v>
      </c>
      <c r="C5" s="5">
        <v>2754</v>
      </c>
      <c r="D5" s="14">
        <v>26151.52</v>
      </c>
    </row>
    <row r="6" spans="1:7" ht="13.5" outlineLevel="1" x14ac:dyDescent="0.25">
      <c r="A6" s="5" t="s">
        <v>8</v>
      </c>
      <c r="B6" s="5">
        <v>8253</v>
      </c>
      <c r="C6" s="5">
        <v>7309</v>
      </c>
      <c r="D6" s="14">
        <v>74492.415399999998</v>
      </c>
    </row>
    <row r="7" spans="1:7" ht="13.5" outlineLevel="1" x14ac:dyDescent="0.25">
      <c r="A7" s="5" t="s">
        <v>9</v>
      </c>
      <c r="B7" s="5">
        <v>2390</v>
      </c>
      <c r="C7" s="5">
        <v>1989</v>
      </c>
      <c r="D7" s="14">
        <v>20236.3361</v>
      </c>
    </row>
    <row r="8" spans="1:7" ht="13.5" outlineLevel="1" x14ac:dyDescent="0.25">
      <c r="A8" s="5" t="s">
        <v>10</v>
      </c>
      <c r="B8" s="5">
        <v>1912</v>
      </c>
      <c r="C8" s="5">
        <v>1689</v>
      </c>
      <c r="D8" s="14">
        <v>17627.4522</v>
      </c>
    </row>
    <row r="9" spans="1:7" s="7" customFormat="1" ht="13.5" x14ac:dyDescent="0.25">
      <c r="A9" s="6" t="s">
        <v>11</v>
      </c>
      <c r="B9" s="6">
        <v>24153</v>
      </c>
      <c r="C9" s="6">
        <v>21349</v>
      </c>
      <c r="D9" s="6">
        <v>222293.03419999999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12</v>
      </c>
      <c r="D44" s="5">
        <v>51.7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12</v>
      </c>
      <c r="D46" s="6">
        <v>51.7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1785</v>
      </c>
      <c r="C69" s="5">
        <v>1570</v>
      </c>
      <c r="D69" s="5">
        <v>11777.48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1785</v>
      </c>
      <c r="C71" s="6">
        <v>1570</v>
      </c>
      <c r="D71" s="6">
        <v>11777.48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25952</v>
      </c>
      <c r="C85" s="8">
        <v>22931</v>
      </c>
      <c r="D85" s="9">
        <v>234122.21420000002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3"/>
    </row>
    <row r="89" spans="1:4" x14ac:dyDescent="0.2">
      <c r="D89" s="12"/>
    </row>
    <row r="92" spans="1:4" x14ac:dyDescent="0.2">
      <c r="D92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6316-95C9-4ACE-941F-9D1036BF3F04}">
  <dimension ref="A1:G92"/>
  <sheetViews>
    <sheetView showGridLines="0" view="pageBreakPreview" topLeftCell="A49" zoomScaleSheetLayoutView="100" workbookViewId="0">
      <selection activeCell="D85" sqref="D85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8556</v>
      </c>
      <c r="C4" s="5">
        <v>7675</v>
      </c>
      <c r="D4" s="5">
        <v>84384.935500000007</v>
      </c>
    </row>
    <row r="5" spans="1:7" ht="13.5" outlineLevel="1" x14ac:dyDescent="0.25">
      <c r="A5" s="5" t="s">
        <v>7</v>
      </c>
      <c r="B5" s="5">
        <v>3087</v>
      </c>
      <c r="C5" s="5">
        <v>2769</v>
      </c>
      <c r="D5" s="14">
        <v>26051.041000000001</v>
      </c>
    </row>
    <row r="6" spans="1:7" ht="13.5" outlineLevel="1" x14ac:dyDescent="0.25">
      <c r="A6" s="5" t="s">
        <v>8</v>
      </c>
      <c r="B6" s="5">
        <v>8273</v>
      </c>
      <c r="C6" s="5">
        <v>7347</v>
      </c>
      <c r="D6" s="14">
        <v>76592.690400000007</v>
      </c>
    </row>
    <row r="7" spans="1:7" ht="13.5" outlineLevel="1" x14ac:dyDescent="0.25">
      <c r="A7" s="5" t="s">
        <v>9</v>
      </c>
      <c r="B7" s="5">
        <v>2400</v>
      </c>
      <c r="C7" s="5">
        <v>2015</v>
      </c>
      <c r="D7" s="14">
        <v>20122.453099999999</v>
      </c>
    </row>
    <row r="8" spans="1:7" ht="13.5" outlineLevel="1" x14ac:dyDescent="0.25">
      <c r="A8" s="5" t="s">
        <v>10</v>
      </c>
      <c r="B8" s="5">
        <v>1912</v>
      </c>
      <c r="C8" s="5">
        <v>1685</v>
      </c>
      <c r="D8" s="14">
        <v>17295.934300000001</v>
      </c>
    </row>
    <row r="9" spans="1:7" s="7" customFormat="1" ht="13.5" x14ac:dyDescent="0.25">
      <c r="A9" s="6" t="s">
        <v>11</v>
      </c>
      <c r="B9" s="6">
        <v>24228</v>
      </c>
      <c r="C9" s="6">
        <v>21491</v>
      </c>
      <c r="D9" s="6">
        <v>224447.05429999999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12</v>
      </c>
      <c r="D44" s="5">
        <v>44.56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12</v>
      </c>
      <c r="D46" s="6">
        <v>44.56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1787</v>
      </c>
      <c r="C69" s="5">
        <v>1568</v>
      </c>
      <c r="D69" s="5">
        <v>11983.36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1787</v>
      </c>
      <c r="C71" s="6">
        <v>1568</v>
      </c>
      <c r="D71" s="6">
        <v>11983.36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26029</v>
      </c>
      <c r="C85" s="8">
        <v>23071</v>
      </c>
      <c r="D85" s="9">
        <v>236474.9743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3"/>
    </row>
    <row r="89" spans="1:4" x14ac:dyDescent="0.2">
      <c r="D89" s="12"/>
    </row>
    <row r="92" spans="1:4" x14ac:dyDescent="0.2">
      <c r="D92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7B73-283B-4DD3-A9D8-A900B6010AAD}">
  <dimension ref="A1:G93"/>
  <sheetViews>
    <sheetView showGridLines="0" tabSelected="1" view="pageBreakPreview" topLeftCell="A58" zoomScaleSheetLayoutView="100" workbookViewId="0">
      <selection activeCell="J79" sqref="J79"/>
    </sheetView>
  </sheetViews>
  <sheetFormatPr defaultRowHeight="12.75" outlineLevelRow="1" x14ac:dyDescent="0.2"/>
  <cols>
    <col min="1" max="1" width="38.5" style="1" customWidth="1"/>
    <col min="2" max="2" width="28.75" style="1" customWidth="1"/>
    <col min="3" max="3" width="24.5" style="1" customWidth="1"/>
    <col min="4" max="4" width="27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7" ht="80.099999999999994" customHeight="1" x14ac:dyDescent="0.2">
      <c r="A1" s="15" t="s">
        <v>0</v>
      </c>
      <c r="B1" s="15"/>
      <c r="C1" s="15"/>
      <c r="D1" s="15"/>
    </row>
    <row r="2" spans="1:7" ht="48" customHeight="1" x14ac:dyDescent="0.2">
      <c r="A2" s="2" t="s">
        <v>1</v>
      </c>
      <c r="B2" s="2"/>
      <c r="C2" s="2"/>
      <c r="D2" s="2"/>
    </row>
    <row r="3" spans="1:7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7" ht="13.5" outlineLevel="1" x14ac:dyDescent="0.25">
      <c r="A4" s="5" t="s">
        <v>6</v>
      </c>
      <c r="B4" s="5">
        <v>8583</v>
      </c>
      <c r="C4" s="5">
        <v>7768</v>
      </c>
      <c r="D4" s="5">
        <v>82478.866500000004</v>
      </c>
    </row>
    <row r="5" spans="1:7" ht="13.5" outlineLevel="1" x14ac:dyDescent="0.25">
      <c r="A5" s="5" t="s">
        <v>7</v>
      </c>
      <c r="B5" s="5">
        <v>3096</v>
      </c>
      <c r="C5" s="5">
        <v>2810</v>
      </c>
      <c r="D5" s="14">
        <v>25507.550999999999</v>
      </c>
    </row>
    <row r="6" spans="1:7" ht="13.5" outlineLevel="1" x14ac:dyDescent="0.25">
      <c r="A6" s="5" t="s">
        <v>8</v>
      </c>
      <c r="B6" s="5">
        <v>8297</v>
      </c>
      <c r="C6" s="5">
        <v>7424</v>
      </c>
      <c r="D6" s="14">
        <v>71556.308499999999</v>
      </c>
    </row>
    <row r="7" spans="1:7" ht="13.5" outlineLevel="1" x14ac:dyDescent="0.25">
      <c r="A7" s="5" t="s">
        <v>9</v>
      </c>
      <c r="B7" s="5">
        <v>2427</v>
      </c>
      <c r="C7" s="5">
        <v>2080</v>
      </c>
      <c r="D7" s="14">
        <v>19738.4581</v>
      </c>
    </row>
    <row r="8" spans="1:7" ht="13.5" outlineLevel="1" x14ac:dyDescent="0.25">
      <c r="A8" s="5" t="s">
        <v>10</v>
      </c>
      <c r="B8" s="5">
        <v>1910</v>
      </c>
      <c r="C8" s="5">
        <v>1703</v>
      </c>
      <c r="D8" s="14">
        <v>16448.938200000001</v>
      </c>
    </row>
    <row r="9" spans="1:7" s="7" customFormat="1" ht="13.5" x14ac:dyDescent="0.25">
      <c r="A9" s="6" t="s">
        <v>11</v>
      </c>
      <c r="B9" s="6">
        <v>24313</v>
      </c>
      <c r="C9" s="6">
        <v>21785</v>
      </c>
      <c r="D9" s="6">
        <v>215730.15</v>
      </c>
      <c r="E9" s="6"/>
      <c r="F9" s="6"/>
    </row>
    <row r="10" spans="1:7" ht="13.5" outlineLevel="1" x14ac:dyDescent="0.25">
      <c r="A10" s="5" t="s">
        <v>12</v>
      </c>
      <c r="B10" s="5">
        <v>0</v>
      </c>
      <c r="C10" s="5">
        <v>0</v>
      </c>
      <c r="D10" s="5">
        <v>0</v>
      </c>
      <c r="E10" s="6"/>
      <c r="F10" s="6"/>
    </row>
    <row r="11" spans="1:7" ht="13.5" outlineLevel="1" x14ac:dyDescent="0.25">
      <c r="A11" s="5" t="s">
        <v>13</v>
      </c>
      <c r="B11" s="5">
        <v>0</v>
      </c>
      <c r="C11" s="5">
        <v>0</v>
      </c>
      <c r="D11" s="5">
        <v>0</v>
      </c>
      <c r="G11" s="1">
        <f t="shared" ref="G11" si="0">SUM(G9:G10)</f>
        <v>0</v>
      </c>
    </row>
    <row r="12" spans="1:7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7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7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7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7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10</v>
      </c>
      <c r="D44" s="5">
        <v>67.849999999999994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10</v>
      </c>
      <c r="D46" s="6">
        <v>67.849999999999994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1791</v>
      </c>
      <c r="C69" s="5">
        <v>1574</v>
      </c>
      <c r="D69" s="5">
        <v>11114.47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1791</v>
      </c>
      <c r="C71" s="6">
        <v>1574</v>
      </c>
      <c r="D71" s="6">
        <v>11114.47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26118</v>
      </c>
      <c r="C85" s="8">
        <v>23369</v>
      </c>
      <c r="D85" s="9">
        <v>226912.47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3"/>
    </row>
    <row r="89" spans="1:4" x14ac:dyDescent="0.2">
      <c r="D89" s="12"/>
    </row>
    <row r="92" spans="1:4" x14ac:dyDescent="0.2">
      <c r="D92" s="12"/>
    </row>
    <row r="93" spans="1:4" x14ac:dyDescent="0.2">
      <c r="D93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2024-02-29T10:07:59Z</dcterms:created>
  <dcterms:modified xsi:type="dcterms:W3CDTF">2026-02-19T13:02:59Z</dcterms:modified>
</cp:coreProperties>
</file>