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lela danelia\D\ლელა დანელია სამსახური\7 FOR WEB  statistics 2023 dan\FOR SHEARING\2025\2025 12\3_საყოფაცხოვრებო სუბსიდია\"/>
    </mc:Choice>
  </mc:AlternateContent>
  <xr:revisionPtr revIDLastSave="0" documentId="13_ncr:1_{17CCC4FF-4071-44FC-9E38-FB67E590226C}" xr6:coauthVersionLast="47" xr6:coauthVersionMax="47" xr10:uidLastSave="{00000000-0000-0000-0000-000000000000}"/>
  <bookViews>
    <workbookView xWindow="29910" yWindow="120" windowWidth="27795" windowHeight="15600" firstSheet="3" activeTab="12" xr2:uid="{00000000-000D-0000-FFFF-FFFF00000000}"/>
  </bookViews>
  <sheets>
    <sheet name="განმარტებები" sheetId="12" r:id="rId1"/>
    <sheet name="იანვარი" sheetId="3" r:id="rId2"/>
    <sheet name="თებერვალი" sheetId="24" r:id="rId3"/>
    <sheet name="მარტი" sheetId="25" r:id="rId4"/>
    <sheet name="აპრილი" sheetId="26" r:id="rId5"/>
    <sheet name="მაისი" sheetId="27" r:id="rId6"/>
    <sheet name="ივნისი" sheetId="28" r:id="rId7"/>
    <sheet name="ივლისი" sheetId="29" r:id="rId8"/>
    <sheet name="აგვისტო" sheetId="30" r:id="rId9"/>
    <sheet name="სექტემბერი" sheetId="31" r:id="rId10"/>
    <sheet name="ოქტომბერი" sheetId="32" r:id="rId11"/>
    <sheet name="ნოემბერი" sheetId="33" r:id="rId12"/>
    <sheet name="დეკემბერი" sheetId="34" r:id="rId13"/>
    <sheet name="February" sheetId="13" state="hidden" r:id="rId14"/>
    <sheet name="March" sheetId="14" state="hidden" r:id="rId15"/>
    <sheet name="April" sheetId="15" state="hidden" r:id="rId16"/>
    <sheet name="May" sheetId="16" state="hidden" r:id="rId17"/>
    <sheet name="June" sheetId="17" state="hidden" r:id="rId18"/>
    <sheet name="July" sheetId="18" state="hidden" r:id="rId19"/>
    <sheet name="August" sheetId="19" state="hidden" r:id="rId20"/>
    <sheet name="September" sheetId="20" state="hidden" r:id="rId21"/>
    <sheet name="October" sheetId="21" state="hidden" r:id="rId22"/>
    <sheet name="November" sheetId="22" state="hidden" r:id="rId23"/>
    <sheet name="December" sheetId="23" state="hidden" r:id="rId24"/>
  </sheets>
  <definedNames>
    <definedName name="_xlnm._FilterDatabase" localSheetId="0" hidden="1">განმარტებები!$A$3:$B$3</definedName>
    <definedName name="_xlnm.Print_Area" localSheetId="15">April!$A$1:$F$22</definedName>
    <definedName name="_xlnm.Print_Area" localSheetId="19">August!$A$1:$F$22</definedName>
    <definedName name="_xlnm.Print_Area" localSheetId="23">December!$A$1:$F$22</definedName>
    <definedName name="_xlnm.Print_Area" localSheetId="13">February!$A$1:$F$23</definedName>
    <definedName name="_xlnm.Print_Area" localSheetId="18">July!$A$1:$F$22</definedName>
    <definedName name="_xlnm.Print_Area" localSheetId="17">June!$A$1:$F$22</definedName>
    <definedName name="_xlnm.Print_Area" localSheetId="14">March!$A$1:$F$22</definedName>
    <definedName name="_xlnm.Print_Area" localSheetId="16">May!$A$1:$F$22</definedName>
    <definedName name="_xlnm.Print_Area" localSheetId="22">November!$A$1:$F$22</definedName>
    <definedName name="_xlnm.Print_Area" localSheetId="21">October!$A$1:$F$22</definedName>
    <definedName name="_xlnm.Print_Area" localSheetId="20">September!$A$1:$F$22</definedName>
    <definedName name="_xlnm.Print_Area" localSheetId="8">აგვისტო!$A$1:$F$22</definedName>
    <definedName name="_xlnm.Print_Area" localSheetId="4">აპრილი!$A$1:$F$22</definedName>
    <definedName name="_xlnm.Print_Area" localSheetId="12">დეკემბერი!$A$1:$F$22</definedName>
    <definedName name="_xlnm.Print_Area" localSheetId="2">თებერვალი!$A$1:$F$22</definedName>
    <definedName name="_xlnm.Print_Area" localSheetId="1">იანვარი!$A$1:$F$22</definedName>
    <definedName name="_xlnm.Print_Area" localSheetId="7">ივლისი!$A$1:$F$22</definedName>
    <definedName name="_xlnm.Print_Area" localSheetId="6">ივნისი!$A$1:$F$22</definedName>
    <definedName name="_xlnm.Print_Area" localSheetId="5">მაისი!$A$1:$F$22</definedName>
    <definedName name="_xlnm.Print_Area" localSheetId="3">მარტი!$A$1:$F$22</definedName>
    <definedName name="_xlnm.Print_Area" localSheetId="11">ნოემბერი!$A$1:$F$22</definedName>
    <definedName name="_xlnm.Print_Area" localSheetId="10">ოქტომბერი!$A$1:$F$22</definedName>
    <definedName name="_xlnm.Print_Area" localSheetId="9">სექტემბერი!$A$1:$F$22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2" i="23" l="1"/>
  <c r="E22" i="23"/>
  <c r="D22" i="23"/>
  <c r="C22" i="23"/>
  <c r="B22" i="23"/>
  <c r="F22" i="22"/>
  <c r="E22" i="22"/>
  <c r="D22" i="22"/>
  <c r="C22" i="22"/>
  <c r="B22" i="22"/>
  <c r="F22" i="21"/>
  <c r="E22" i="21"/>
  <c r="D22" i="21"/>
  <c r="C22" i="21"/>
  <c r="B22" i="21"/>
  <c r="F22" i="20"/>
  <c r="E22" i="20"/>
  <c r="D22" i="20"/>
  <c r="C22" i="20"/>
  <c r="B22" i="20"/>
  <c r="F22" i="19"/>
  <c r="E22" i="19"/>
  <c r="D22" i="19"/>
  <c r="C22" i="19"/>
  <c r="B22" i="19"/>
  <c r="F22" i="18"/>
  <c r="E22" i="18"/>
  <c r="D22" i="18"/>
  <c r="C22" i="18"/>
  <c r="B22" i="18"/>
  <c r="F22" i="17"/>
  <c r="E22" i="17"/>
  <c r="D22" i="17"/>
  <c r="C22" i="17"/>
  <c r="B22" i="17"/>
  <c r="F22" i="16"/>
  <c r="E22" i="16"/>
  <c r="D22" i="16"/>
  <c r="C22" i="16"/>
  <c r="B22" i="16"/>
  <c r="F22" i="15" l="1"/>
  <c r="E22" i="15"/>
  <c r="D22" i="15"/>
  <c r="C22" i="15"/>
  <c r="B22" i="15"/>
  <c r="F22" i="14" l="1"/>
  <c r="E22" i="14"/>
  <c r="D22" i="14"/>
  <c r="C22" i="14"/>
  <c r="B22" i="14"/>
  <c r="F23" i="13" l="1"/>
  <c r="E23" i="13"/>
  <c r="D23" i="13"/>
  <c r="C23" i="13"/>
  <c r="B23" i="13"/>
</calcChain>
</file>

<file path=xl/sharedStrings.xml><?xml version="1.0" encoding="utf-8"?>
<sst xmlns="http://schemas.openxmlformats.org/spreadsheetml/2006/main" count="664" uniqueCount="51">
  <si>
    <t>სულ</t>
  </si>
  <si>
    <t>სულ სუბსიდიის მიმღები</t>
  </si>
  <si>
    <t>საყოფაცხოვრებო სუბსიდიის მიმღებთა კატეგორიები</t>
  </si>
  <si>
    <t>პუნქტების განმარტებები</t>
  </si>
  <si>
    <t>ა</t>
  </si>
  <si>
    <t>ბ</t>
  </si>
  <si>
    <t>გ</t>
  </si>
  <si>
    <t>დ</t>
  </si>
  <si>
    <t>ე</t>
  </si>
  <si>
    <t>ვ</t>
  </si>
  <si>
    <t>ზ</t>
  </si>
  <si>
    <t>თ</t>
  </si>
  <si>
    <t>ი</t>
  </si>
  <si>
    <t>კ</t>
  </si>
  <si>
    <t>ლ</t>
  </si>
  <si>
    <t>მ</t>
  </si>
  <si>
    <t>ნ</t>
  </si>
  <si>
    <t>ო</t>
  </si>
  <si>
    <t xml:space="preserve">სახელმწიფო სუბსიდიის მიმღებთა რაოდენობა სუბსიდიის კატეგორიის მიხედვით </t>
  </si>
  <si>
    <t>პუნქტი</t>
  </si>
  <si>
    <t>პ</t>
  </si>
  <si>
    <t>ჟ</t>
  </si>
  <si>
    <t>რ</t>
  </si>
  <si>
    <t>ს</t>
  </si>
  <si>
    <t>ტ</t>
  </si>
  <si>
    <t>მე–4–ე მუხლის მიხედვით</t>
  </si>
  <si>
    <t>სსიპ სოციალური მომსახურების სააგენტო</t>
  </si>
  <si>
    <t>2008 წლის რუსეთ-საქართველოს ომის მონაწილე - 100</t>
  </si>
  <si>
    <t>2008 წლის რუსეთ-საქართველოს ომის შემდეგ გარდაც-ის მარჩენალდ - 100</t>
  </si>
  <si>
    <t>2008 წლის რუსეთ-საქართველოს ომში დაღუპულის ოჯახის წევრი - 100</t>
  </si>
  <si>
    <t>II მსოფლიო ომის მონაწილეები - 100</t>
  </si>
  <si>
    <t>II მსოფლიო ომში დაღუპულთა ქვრივები - 100</t>
  </si>
  <si>
    <t>ომის ვეტერანებთან გათანაბრებულები - 100</t>
  </si>
  <si>
    <t>ომის ინვალიდები - 100</t>
  </si>
  <si>
    <t>ომის მონაწილეები  - 100</t>
  </si>
  <si>
    <t>ომში და ომის შემ.გარ.ომის ინვ./მონწ.და სხვა ტერ.გარ.ოჯ.წ.-100</t>
  </si>
  <si>
    <t>ომში დაღუპულთა ბავშვობიდან შშმ შვილები - 100</t>
  </si>
  <si>
    <t>სამხედრო ძალთა ვეტერანები - 100</t>
  </si>
  <si>
    <t>ტერიტ.მთლ-ისავის ომში დარუპულ.ოჯახის წევრები - 100</t>
  </si>
  <si>
    <t>40 ლარიანი სუბსიდიის მიმღები</t>
  </si>
  <si>
    <t>60 ლარიანი სუბსიდიის მიმღები</t>
  </si>
  <si>
    <t>80 ლარიანი სუბსიდიის მიმღები</t>
  </si>
  <si>
    <t>100 ლარიანი სუბსიდიის მიმღები</t>
  </si>
  <si>
    <t>9 აპრილის დაზარალებულთა ოჯახის წევრები - 80</t>
  </si>
  <si>
    <t>9 აპრილის ინვალიდები  - 80</t>
  </si>
  <si>
    <t>9 აპრილის მონაწილე  - 60</t>
  </si>
  <si>
    <t>პოლიტ.რეპრესირებულები და მათი ოჯახის წევრები - 40</t>
  </si>
  <si>
    <t>ჩერნობილის ინვალიდები - 40</t>
  </si>
  <si>
    <t>ჩერნობილის მარჩენალდაკარგულთა ოჯახის წევრები - 40</t>
  </si>
  <si>
    <t>ჩერნობილის მონაწილე - 40</t>
  </si>
  <si>
    <t xml:space="preserve">საყოფაცხოვრებო სუბსიდიის მიმღებთა რაოდენობა სუბსიდიის კატეგორიის და სუბსიდიის ოდენობის მიხედვით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</si>
</sst>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6">
    <font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165" fontId="3" fillId="0" borderId="0" applyFont="0" applyFill="0" applyBorder="0" applyAlignment="0" applyProtection="0"/>
  </cellStyleXfs>
  <cellXfs count="19">
    <xf numFmtId="0" fontId="0" fillId="0" borderId="0" xfId="0"/>
    <xf numFmtId="0" fontId="0" fillId="2" borderId="0" xfId="0" applyFill="1"/>
    <xf numFmtId="164" fontId="3" fillId="3" borderId="0" xfId="2" applyNumberFormat="1" applyFont="1" applyFill="1"/>
    <xf numFmtId="164" fontId="3" fillId="3" borderId="0" xfId="2" applyNumberFormat="1" applyFill="1"/>
    <xf numFmtId="164" fontId="4" fillId="3" borderId="0" xfId="2" applyNumberFormat="1" applyFont="1" applyFill="1"/>
    <xf numFmtId="164" fontId="3" fillId="3" borderId="0" xfId="2" applyNumberFormat="1" applyFill="1" applyAlignment="1"/>
    <xf numFmtId="164" fontId="0" fillId="3" borderId="0" xfId="0" applyNumberFormat="1" applyFill="1"/>
    <xf numFmtId="0" fontId="3" fillId="0" borderId="0" xfId="2"/>
    <xf numFmtId="164" fontId="2" fillId="4" borderId="0" xfId="1" applyNumberFormat="1" applyFont="1" applyFill="1" applyBorder="1" applyAlignment="1">
      <alignment horizontal="center" vertical="center" wrapText="1"/>
    </xf>
    <xf numFmtId="164" fontId="2" fillId="4" borderId="0" xfId="1" applyNumberFormat="1" applyFont="1" applyFill="1" applyBorder="1" applyAlignment="1"/>
    <xf numFmtId="164" fontId="2" fillId="4" borderId="0" xfId="1" applyNumberFormat="1" applyFont="1" applyFill="1" applyBorder="1" applyAlignment="1">
      <alignment horizontal="right"/>
    </xf>
    <xf numFmtId="164" fontId="2" fillId="4" borderId="2" xfId="1" applyNumberFormat="1" applyFont="1" applyFill="1" applyBorder="1" applyAlignment="1">
      <alignment horizontal="left" vertical="center" wrapText="1"/>
    </xf>
    <xf numFmtId="164" fontId="2" fillId="4" borderId="2" xfId="1" applyNumberFormat="1" applyFont="1" applyFill="1" applyBorder="1" applyAlignment="1">
      <alignment horizontal="center" vertical="center" wrapText="1"/>
    </xf>
    <xf numFmtId="164" fontId="2" fillId="4" borderId="3" xfId="1" applyNumberFormat="1" applyFont="1" applyFill="1" applyBorder="1" applyAlignment="1"/>
    <xf numFmtId="164" fontId="2" fillId="4" borderId="0" xfId="1" applyNumberFormat="1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Continuous" vertical="center" wrapText="1"/>
    </xf>
    <xf numFmtId="164" fontId="5" fillId="5" borderId="1" xfId="2" applyNumberFormat="1" applyFont="1" applyFill="1" applyBorder="1" applyAlignment="1">
      <alignment horizontal="center" vertical="center"/>
    </xf>
    <xf numFmtId="164" fontId="5" fillId="5" borderId="2" xfId="2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_01_IANVARI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66675</xdr:rowOff>
    </xdr:from>
    <xdr:to>
      <xdr:col>0</xdr:col>
      <xdr:colOff>809625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667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0</xdr:row>
      <xdr:rowOff>66675</xdr:rowOff>
    </xdr:from>
    <xdr:to>
      <xdr:col>0</xdr:col>
      <xdr:colOff>809625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667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123825</xdr:rowOff>
    </xdr:from>
    <xdr:to>
      <xdr:col>0</xdr:col>
      <xdr:colOff>695325</xdr:colOff>
      <xdr:row>0</xdr:row>
      <xdr:rowOff>876300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2382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123825</xdr:rowOff>
    </xdr:from>
    <xdr:to>
      <xdr:col>0</xdr:col>
      <xdr:colOff>695325</xdr:colOff>
      <xdr:row>0</xdr:row>
      <xdr:rowOff>876300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492BF2-664A-4B33-9081-D6983BE3E2E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14E361-F386-4735-B935-A3DCB6AC1D9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5075C8-486A-448B-9B2B-148596688C6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E32ED1-CA6E-4D67-B600-D62F225971F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992AD1-B810-4660-A47C-A1D0D2A676A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684E69-0602-4183-A442-AD57B94677B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8D2C27-C88B-4F58-9924-A6378CC005F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89AC1F-7E8B-49B0-88AB-42CEE0387DC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AC5DF8-18EE-41BC-8B37-CD7517BD461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D553A6-1433-4A66-9931-B43DD7A0813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1B906D-4011-430E-96E2-5D987B33A62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67FE9E-2856-4CB6-BCFC-B77FECA775B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B11DBA-D1AE-41D4-AC95-CED4474EBE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F3AED9-CE37-40F5-B434-48898456696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124A58-763C-469C-9318-28C0E15F984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78FEBB-039B-4B78-9557-A4C94299EB1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A7CE70-4C7B-409A-BF71-6DA0D293792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E8F2F5-45A2-405F-BBB9-1B4A5BF2C4C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showGridLines="0" view="pageBreakPreview" topLeftCell="A13" zoomScaleSheetLayoutView="100" workbookViewId="0">
      <selection activeCell="E6" sqref="E6"/>
    </sheetView>
  </sheetViews>
  <sheetFormatPr defaultRowHeight="12.75"/>
  <cols>
    <col min="1" max="1" width="26" style="7" customWidth="1"/>
    <col min="2" max="2" width="81.25" style="7" customWidth="1"/>
    <col min="3" max="256" width="9.125" style="7"/>
    <col min="257" max="257" width="23.125" style="7" customWidth="1"/>
    <col min="258" max="258" width="183.375" style="7" customWidth="1"/>
    <col min="259" max="512" width="9.125" style="7"/>
    <col min="513" max="513" width="23.125" style="7" customWidth="1"/>
    <col min="514" max="514" width="183.375" style="7" customWidth="1"/>
    <col min="515" max="768" width="9.125" style="7"/>
    <col min="769" max="769" width="23.125" style="7" customWidth="1"/>
    <col min="770" max="770" width="183.375" style="7" customWidth="1"/>
    <col min="771" max="1024" width="9.125" style="7"/>
    <col min="1025" max="1025" width="23.125" style="7" customWidth="1"/>
    <col min="1026" max="1026" width="183.375" style="7" customWidth="1"/>
    <col min="1027" max="1280" width="9.125" style="7"/>
    <col min="1281" max="1281" width="23.125" style="7" customWidth="1"/>
    <col min="1282" max="1282" width="183.375" style="7" customWidth="1"/>
    <col min="1283" max="1536" width="9.125" style="7"/>
    <col min="1537" max="1537" width="23.125" style="7" customWidth="1"/>
    <col min="1538" max="1538" width="183.375" style="7" customWidth="1"/>
    <col min="1539" max="1792" width="9.125" style="7"/>
    <col min="1793" max="1793" width="23.125" style="7" customWidth="1"/>
    <col min="1794" max="1794" width="183.375" style="7" customWidth="1"/>
    <col min="1795" max="2048" width="9.125" style="7"/>
    <col min="2049" max="2049" width="23.125" style="7" customWidth="1"/>
    <col min="2050" max="2050" width="183.375" style="7" customWidth="1"/>
    <col min="2051" max="2304" width="9.125" style="7"/>
    <col min="2305" max="2305" width="23.125" style="7" customWidth="1"/>
    <col min="2306" max="2306" width="183.375" style="7" customWidth="1"/>
    <col min="2307" max="2560" width="9.125" style="7"/>
    <col min="2561" max="2561" width="23.125" style="7" customWidth="1"/>
    <col min="2562" max="2562" width="183.375" style="7" customWidth="1"/>
    <col min="2563" max="2816" width="9.125" style="7"/>
    <col min="2817" max="2817" width="23.125" style="7" customWidth="1"/>
    <col min="2818" max="2818" width="183.375" style="7" customWidth="1"/>
    <col min="2819" max="3072" width="9.125" style="7"/>
    <col min="3073" max="3073" width="23.125" style="7" customWidth="1"/>
    <col min="3074" max="3074" width="183.375" style="7" customWidth="1"/>
    <col min="3075" max="3328" width="9.125" style="7"/>
    <col min="3329" max="3329" width="23.125" style="7" customWidth="1"/>
    <col min="3330" max="3330" width="183.375" style="7" customWidth="1"/>
    <col min="3331" max="3584" width="9.125" style="7"/>
    <col min="3585" max="3585" width="23.125" style="7" customWidth="1"/>
    <col min="3586" max="3586" width="183.375" style="7" customWidth="1"/>
    <col min="3587" max="3840" width="9.125" style="7"/>
    <col min="3841" max="3841" width="23.125" style="7" customWidth="1"/>
    <col min="3842" max="3842" width="183.375" style="7" customWidth="1"/>
    <col min="3843" max="4096" width="9.125" style="7"/>
    <col min="4097" max="4097" width="23.125" style="7" customWidth="1"/>
    <col min="4098" max="4098" width="183.375" style="7" customWidth="1"/>
    <col min="4099" max="4352" width="9.125" style="7"/>
    <col min="4353" max="4353" width="23.125" style="7" customWidth="1"/>
    <col min="4354" max="4354" width="183.375" style="7" customWidth="1"/>
    <col min="4355" max="4608" width="9.125" style="7"/>
    <col min="4609" max="4609" width="23.125" style="7" customWidth="1"/>
    <col min="4610" max="4610" width="183.375" style="7" customWidth="1"/>
    <col min="4611" max="4864" width="9.125" style="7"/>
    <col min="4865" max="4865" width="23.125" style="7" customWidth="1"/>
    <col min="4866" max="4866" width="183.375" style="7" customWidth="1"/>
    <col min="4867" max="5120" width="9.125" style="7"/>
    <col min="5121" max="5121" width="23.125" style="7" customWidth="1"/>
    <col min="5122" max="5122" width="183.375" style="7" customWidth="1"/>
    <col min="5123" max="5376" width="9.125" style="7"/>
    <col min="5377" max="5377" width="23.125" style="7" customWidth="1"/>
    <col min="5378" max="5378" width="183.375" style="7" customWidth="1"/>
    <col min="5379" max="5632" width="9.125" style="7"/>
    <col min="5633" max="5633" width="23.125" style="7" customWidth="1"/>
    <col min="5634" max="5634" width="183.375" style="7" customWidth="1"/>
    <col min="5635" max="5888" width="9.125" style="7"/>
    <col min="5889" max="5889" width="23.125" style="7" customWidth="1"/>
    <col min="5890" max="5890" width="183.375" style="7" customWidth="1"/>
    <col min="5891" max="6144" width="9.125" style="7"/>
    <col min="6145" max="6145" width="23.125" style="7" customWidth="1"/>
    <col min="6146" max="6146" width="183.375" style="7" customWidth="1"/>
    <col min="6147" max="6400" width="9.125" style="7"/>
    <col min="6401" max="6401" width="23.125" style="7" customWidth="1"/>
    <col min="6402" max="6402" width="183.375" style="7" customWidth="1"/>
    <col min="6403" max="6656" width="9.125" style="7"/>
    <col min="6657" max="6657" width="23.125" style="7" customWidth="1"/>
    <col min="6658" max="6658" width="183.375" style="7" customWidth="1"/>
    <col min="6659" max="6912" width="9.125" style="7"/>
    <col min="6913" max="6913" width="23.125" style="7" customWidth="1"/>
    <col min="6914" max="6914" width="183.375" style="7" customWidth="1"/>
    <col min="6915" max="7168" width="9.125" style="7"/>
    <col min="7169" max="7169" width="23.125" style="7" customWidth="1"/>
    <col min="7170" max="7170" width="183.375" style="7" customWidth="1"/>
    <col min="7171" max="7424" width="9.125" style="7"/>
    <col min="7425" max="7425" width="23.125" style="7" customWidth="1"/>
    <col min="7426" max="7426" width="183.375" style="7" customWidth="1"/>
    <col min="7427" max="7680" width="9.125" style="7"/>
    <col min="7681" max="7681" width="23.125" style="7" customWidth="1"/>
    <col min="7682" max="7682" width="183.375" style="7" customWidth="1"/>
    <col min="7683" max="7936" width="9.125" style="7"/>
    <col min="7937" max="7937" width="23.125" style="7" customWidth="1"/>
    <col min="7938" max="7938" width="183.375" style="7" customWidth="1"/>
    <col min="7939" max="8192" width="9.125" style="7"/>
    <col min="8193" max="8193" width="23.125" style="7" customWidth="1"/>
    <col min="8194" max="8194" width="183.375" style="7" customWidth="1"/>
    <col min="8195" max="8448" width="9.125" style="7"/>
    <col min="8449" max="8449" width="23.125" style="7" customWidth="1"/>
    <col min="8450" max="8450" width="183.375" style="7" customWidth="1"/>
    <col min="8451" max="8704" width="9.125" style="7"/>
    <col min="8705" max="8705" width="23.125" style="7" customWidth="1"/>
    <col min="8706" max="8706" width="183.375" style="7" customWidth="1"/>
    <col min="8707" max="8960" width="9.125" style="7"/>
    <col min="8961" max="8961" width="23.125" style="7" customWidth="1"/>
    <col min="8962" max="8962" width="183.375" style="7" customWidth="1"/>
    <col min="8963" max="9216" width="9.125" style="7"/>
    <col min="9217" max="9217" width="23.125" style="7" customWidth="1"/>
    <col min="9218" max="9218" width="183.375" style="7" customWidth="1"/>
    <col min="9219" max="9472" width="9.125" style="7"/>
    <col min="9473" max="9473" width="23.125" style="7" customWidth="1"/>
    <col min="9474" max="9474" width="183.375" style="7" customWidth="1"/>
    <col min="9475" max="9728" width="9.125" style="7"/>
    <col min="9729" max="9729" width="23.125" style="7" customWidth="1"/>
    <col min="9730" max="9730" width="183.375" style="7" customWidth="1"/>
    <col min="9731" max="9984" width="9.125" style="7"/>
    <col min="9985" max="9985" width="23.125" style="7" customWidth="1"/>
    <col min="9986" max="9986" width="183.375" style="7" customWidth="1"/>
    <col min="9987" max="10240" width="9.125" style="7"/>
    <col min="10241" max="10241" width="23.125" style="7" customWidth="1"/>
    <col min="10242" max="10242" width="183.375" style="7" customWidth="1"/>
    <col min="10243" max="10496" width="9.125" style="7"/>
    <col min="10497" max="10497" width="23.125" style="7" customWidth="1"/>
    <col min="10498" max="10498" width="183.375" style="7" customWidth="1"/>
    <col min="10499" max="10752" width="9.125" style="7"/>
    <col min="10753" max="10753" width="23.125" style="7" customWidth="1"/>
    <col min="10754" max="10754" width="183.375" style="7" customWidth="1"/>
    <col min="10755" max="11008" width="9.125" style="7"/>
    <col min="11009" max="11009" width="23.125" style="7" customWidth="1"/>
    <col min="11010" max="11010" width="183.375" style="7" customWidth="1"/>
    <col min="11011" max="11264" width="9.125" style="7"/>
    <col min="11265" max="11265" width="23.125" style="7" customWidth="1"/>
    <col min="11266" max="11266" width="183.375" style="7" customWidth="1"/>
    <col min="11267" max="11520" width="9.125" style="7"/>
    <col min="11521" max="11521" width="23.125" style="7" customWidth="1"/>
    <col min="11522" max="11522" width="183.375" style="7" customWidth="1"/>
    <col min="11523" max="11776" width="9.125" style="7"/>
    <col min="11777" max="11777" width="23.125" style="7" customWidth="1"/>
    <col min="11778" max="11778" width="183.375" style="7" customWidth="1"/>
    <col min="11779" max="12032" width="9.125" style="7"/>
    <col min="12033" max="12033" width="23.125" style="7" customWidth="1"/>
    <col min="12034" max="12034" width="183.375" style="7" customWidth="1"/>
    <col min="12035" max="12288" width="9.125" style="7"/>
    <col min="12289" max="12289" width="23.125" style="7" customWidth="1"/>
    <col min="12290" max="12290" width="183.375" style="7" customWidth="1"/>
    <col min="12291" max="12544" width="9.125" style="7"/>
    <col min="12545" max="12545" width="23.125" style="7" customWidth="1"/>
    <col min="12546" max="12546" width="183.375" style="7" customWidth="1"/>
    <col min="12547" max="12800" width="9.125" style="7"/>
    <col min="12801" max="12801" width="23.125" style="7" customWidth="1"/>
    <col min="12802" max="12802" width="183.375" style="7" customWidth="1"/>
    <col min="12803" max="13056" width="9.125" style="7"/>
    <col min="13057" max="13057" width="23.125" style="7" customWidth="1"/>
    <col min="13058" max="13058" width="183.375" style="7" customWidth="1"/>
    <col min="13059" max="13312" width="9.125" style="7"/>
    <col min="13313" max="13313" width="23.125" style="7" customWidth="1"/>
    <col min="13314" max="13314" width="183.375" style="7" customWidth="1"/>
    <col min="13315" max="13568" width="9.125" style="7"/>
    <col min="13569" max="13569" width="23.125" style="7" customWidth="1"/>
    <col min="13570" max="13570" width="183.375" style="7" customWidth="1"/>
    <col min="13571" max="13824" width="9.125" style="7"/>
    <col min="13825" max="13825" width="23.125" style="7" customWidth="1"/>
    <col min="13826" max="13826" width="183.375" style="7" customWidth="1"/>
    <col min="13827" max="14080" width="9.125" style="7"/>
    <col min="14081" max="14081" width="23.125" style="7" customWidth="1"/>
    <col min="14082" max="14082" width="183.375" style="7" customWidth="1"/>
    <col min="14083" max="14336" width="9.125" style="7"/>
    <col min="14337" max="14337" width="23.125" style="7" customWidth="1"/>
    <col min="14338" max="14338" width="183.375" style="7" customWidth="1"/>
    <col min="14339" max="14592" width="9.125" style="7"/>
    <col min="14593" max="14593" width="23.125" style="7" customWidth="1"/>
    <col min="14594" max="14594" width="183.375" style="7" customWidth="1"/>
    <col min="14595" max="14848" width="9.125" style="7"/>
    <col min="14849" max="14849" width="23.125" style="7" customWidth="1"/>
    <col min="14850" max="14850" width="183.375" style="7" customWidth="1"/>
    <col min="14851" max="15104" width="9.125" style="7"/>
    <col min="15105" max="15105" width="23.125" style="7" customWidth="1"/>
    <col min="15106" max="15106" width="183.375" style="7" customWidth="1"/>
    <col min="15107" max="15360" width="9.125" style="7"/>
    <col min="15361" max="15361" width="23.125" style="7" customWidth="1"/>
    <col min="15362" max="15362" width="183.375" style="7" customWidth="1"/>
    <col min="15363" max="15616" width="9.125" style="7"/>
    <col min="15617" max="15617" width="23.125" style="7" customWidth="1"/>
    <col min="15618" max="15618" width="183.375" style="7" customWidth="1"/>
    <col min="15619" max="15872" width="9.125" style="7"/>
    <col min="15873" max="15873" width="23.125" style="7" customWidth="1"/>
    <col min="15874" max="15874" width="183.375" style="7" customWidth="1"/>
    <col min="15875" max="16128" width="9.125" style="7"/>
    <col min="16129" max="16129" width="23.125" style="7" customWidth="1"/>
    <col min="16130" max="16130" width="183.375" style="7" customWidth="1"/>
    <col min="16131" max="16384" width="9.125" style="7"/>
  </cols>
  <sheetData>
    <row r="1" spans="1:2" ht="80.25" customHeight="1">
      <c r="A1" s="16" t="s">
        <v>26</v>
      </c>
      <c r="B1" s="16"/>
    </row>
    <row r="2" spans="1:2" ht="16.5" customHeight="1">
      <c r="A2" s="17" t="s">
        <v>2</v>
      </c>
      <c r="B2" s="17"/>
    </row>
    <row r="3" spans="1:2" ht="72.75" customHeight="1">
      <c r="A3" s="12" t="s">
        <v>19</v>
      </c>
      <c r="B3" s="12" t="s">
        <v>3</v>
      </c>
    </row>
    <row r="4" spans="1:2" ht="29.25" customHeight="1">
      <c r="A4" s="14" t="s">
        <v>4</v>
      </c>
      <c r="B4" s="8" t="s">
        <v>27</v>
      </c>
    </row>
    <row r="5" spans="1:2" ht="29.25" customHeight="1">
      <c r="A5" s="14" t="s">
        <v>5</v>
      </c>
      <c r="B5" s="8" t="s">
        <v>28</v>
      </c>
    </row>
    <row r="6" spans="1:2" ht="32.25" customHeight="1">
      <c r="A6" s="14" t="s">
        <v>6</v>
      </c>
      <c r="B6" s="8" t="s">
        <v>29</v>
      </c>
    </row>
    <row r="7" spans="1:2" ht="29.25" customHeight="1">
      <c r="A7" s="14" t="s">
        <v>7</v>
      </c>
      <c r="B7" s="8" t="s">
        <v>43</v>
      </c>
    </row>
    <row r="8" spans="1:2" ht="29.25" customHeight="1">
      <c r="A8" s="14" t="s">
        <v>8</v>
      </c>
      <c r="B8" s="8" t="s">
        <v>44</v>
      </c>
    </row>
    <row r="9" spans="1:2" ht="29.25" customHeight="1">
      <c r="A9" s="14" t="s">
        <v>9</v>
      </c>
      <c r="B9" s="8" t="s">
        <v>45</v>
      </c>
    </row>
    <row r="10" spans="1:2" ht="29.25" customHeight="1">
      <c r="A10" s="14" t="s">
        <v>10</v>
      </c>
      <c r="B10" s="8" t="s">
        <v>30</v>
      </c>
    </row>
    <row r="11" spans="1:2" ht="29.25" customHeight="1">
      <c r="A11" s="14" t="s">
        <v>11</v>
      </c>
      <c r="B11" s="8" t="s">
        <v>31</v>
      </c>
    </row>
    <row r="12" spans="1:2" ht="29.25" customHeight="1">
      <c r="A12" s="14" t="s">
        <v>12</v>
      </c>
      <c r="B12" s="8" t="s">
        <v>32</v>
      </c>
    </row>
    <row r="13" spans="1:2" ht="29.25" customHeight="1">
      <c r="A13" s="14" t="s">
        <v>13</v>
      </c>
      <c r="B13" s="8" t="s">
        <v>33</v>
      </c>
    </row>
    <row r="14" spans="1:2" ht="29.25" customHeight="1">
      <c r="A14" s="14" t="s">
        <v>14</v>
      </c>
      <c r="B14" s="8" t="s">
        <v>34</v>
      </c>
    </row>
    <row r="15" spans="1:2" ht="29.25" customHeight="1">
      <c r="A15" s="14" t="s">
        <v>15</v>
      </c>
      <c r="B15" s="8" t="s">
        <v>35</v>
      </c>
    </row>
    <row r="16" spans="1:2" ht="29.25" customHeight="1">
      <c r="A16" s="14" t="s">
        <v>16</v>
      </c>
      <c r="B16" s="8" t="s">
        <v>36</v>
      </c>
    </row>
    <row r="17" spans="1:2" ht="29.25" customHeight="1">
      <c r="A17" s="14" t="s">
        <v>17</v>
      </c>
      <c r="B17" s="8" t="s">
        <v>46</v>
      </c>
    </row>
    <row r="18" spans="1:2" ht="29.25" customHeight="1">
      <c r="A18" s="14" t="s">
        <v>20</v>
      </c>
      <c r="B18" s="8" t="s">
        <v>37</v>
      </c>
    </row>
    <row r="19" spans="1:2" ht="29.25" customHeight="1">
      <c r="A19" s="14" t="s">
        <v>21</v>
      </c>
      <c r="B19" s="8" t="s">
        <v>38</v>
      </c>
    </row>
    <row r="20" spans="1:2" ht="29.25" customHeight="1">
      <c r="A20" s="14" t="s">
        <v>22</v>
      </c>
      <c r="B20" s="8" t="s">
        <v>47</v>
      </c>
    </row>
    <row r="21" spans="1:2" ht="31.5" customHeight="1">
      <c r="A21" s="14" t="s">
        <v>23</v>
      </c>
      <c r="B21" s="8" t="s">
        <v>48</v>
      </c>
    </row>
    <row r="22" spans="1:2" ht="31.5" customHeight="1">
      <c r="A22" s="14" t="s">
        <v>24</v>
      </c>
      <c r="B22" s="8" t="s">
        <v>49</v>
      </c>
    </row>
  </sheetData>
  <autoFilter ref="A3:B3" xr:uid="{00000000-0009-0000-0000-000000000000}"/>
  <mergeCells count="2">
    <mergeCell ref="A1:B1"/>
    <mergeCell ref="A2:B2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applyStyles="1"/>
  </sheetPr>
  <dimension ref="A1:F37"/>
  <sheetViews>
    <sheetView view="pageBreakPreview" zoomScaleSheetLayoutView="100" workbookViewId="0">
      <selection activeCell="A22" sqref="A22:XFD22"/>
    </sheetView>
  </sheetViews>
  <sheetFormatPr defaultColWidth="9.125" defaultRowHeight="12.75"/>
  <cols>
    <col min="1" max="1" width="28" style="3" bestFit="1" customWidth="1"/>
    <col min="2" max="2" width="14.625" style="3" customWidth="1"/>
    <col min="3" max="3" width="16.25" style="3" customWidth="1"/>
    <col min="4" max="4" width="15.875" style="3" customWidth="1"/>
    <col min="5" max="6" width="14.625" style="3" customWidth="1"/>
    <col min="7" max="16384" width="9.125" style="3"/>
  </cols>
  <sheetData>
    <row r="1" spans="1:6" ht="80.099999999999994" customHeight="1">
      <c r="A1" s="18" t="s">
        <v>26</v>
      </c>
      <c r="B1" s="18"/>
      <c r="C1" s="18"/>
      <c r="D1" s="18"/>
      <c r="E1" s="18"/>
      <c r="F1" s="18"/>
    </row>
    <row r="2" spans="1:6" s="4" customFormat="1" ht="33">
      <c r="A2" s="15" t="s">
        <v>50</v>
      </c>
      <c r="B2" s="15"/>
      <c r="C2" s="15"/>
      <c r="D2" s="15"/>
      <c r="E2" s="15"/>
      <c r="F2" s="15"/>
    </row>
    <row r="3" spans="1:6" s="5" customFormat="1" ht="65.25" customHeight="1">
      <c r="A3" s="11" t="s">
        <v>25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124</v>
      </c>
      <c r="F4" s="10">
        <v>124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104</v>
      </c>
      <c r="F5" s="10">
        <v>104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76</v>
      </c>
      <c r="F6" s="10">
        <v>76</v>
      </c>
    </row>
    <row r="7" spans="1:6" ht="13.5">
      <c r="A7" s="9" t="s">
        <v>7</v>
      </c>
      <c r="B7" s="10">
        <v>0</v>
      </c>
      <c r="C7" s="10">
        <v>0</v>
      </c>
      <c r="D7" s="10">
        <v>4</v>
      </c>
      <c r="E7" s="10">
        <v>0</v>
      </c>
      <c r="F7" s="10">
        <v>4</v>
      </c>
    </row>
    <row r="8" spans="1:6" ht="13.5">
      <c r="A8" s="9" t="s">
        <v>8</v>
      </c>
      <c r="B8" s="10">
        <v>0</v>
      </c>
      <c r="C8" s="10">
        <v>0</v>
      </c>
      <c r="D8" s="10">
        <v>65</v>
      </c>
      <c r="E8" s="10">
        <v>0</v>
      </c>
      <c r="F8" s="10">
        <v>65</v>
      </c>
    </row>
    <row r="9" spans="1:6" s="6" customFormat="1" ht="15">
      <c r="A9" s="9" t="s">
        <v>9</v>
      </c>
      <c r="B9" s="10">
        <v>0</v>
      </c>
      <c r="C9" s="10">
        <v>126</v>
      </c>
      <c r="D9" s="10">
        <v>0</v>
      </c>
      <c r="E9" s="10">
        <v>0</v>
      </c>
      <c r="F9" s="10">
        <v>126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25</v>
      </c>
      <c r="F10" s="10">
        <v>25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76</v>
      </c>
      <c r="F11" s="10">
        <v>76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290</v>
      </c>
      <c r="F12" s="10">
        <v>290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262</v>
      </c>
      <c r="F13" s="10">
        <v>262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6194</v>
      </c>
      <c r="F14" s="10">
        <v>6194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4968</v>
      </c>
      <c r="F15" s="10">
        <v>4968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118</v>
      </c>
      <c r="F16" s="10">
        <v>118</v>
      </c>
    </row>
    <row r="17" spans="1:6" ht="14.25" customHeight="1">
      <c r="A17" s="9" t="s">
        <v>17</v>
      </c>
      <c r="B17" s="10">
        <v>7347</v>
      </c>
      <c r="C17" s="10">
        <v>0</v>
      </c>
      <c r="D17" s="10">
        <v>0</v>
      </c>
      <c r="E17" s="10">
        <v>0</v>
      </c>
      <c r="F17" s="10">
        <v>7347</v>
      </c>
    </row>
    <row r="18" spans="1:6" s="6" customFormat="1" ht="15">
      <c r="A18" s="9" t="s">
        <v>20</v>
      </c>
      <c r="B18" s="10">
        <v>0</v>
      </c>
      <c r="C18" s="10">
        <v>0</v>
      </c>
      <c r="D18" s="10">
        <v>0</v>
      </c>
      <c r="E18" s="10">
        <v>376</v>
      </c>
      <c r="F18" s="10">
        <v>376</v>
      </c>
    </row>
    <row r="19" spans="1:6" ht="13.5">
      <c r="A19" s="9" t="s">
        <v>21</v>
      </c>
      <c r="B19" s="10">
        <v>0</v>
      </c>
      <c r="C19" s="10">
        <v>0</v>
      </c>
      <c r="D19" s="10">
        <v>0</v>
      </c>
      <c r="E19" s="10">
        <v>1269</v>
      </c>
      <c r="F19" s="10">
        <v>1269</v>
      </c>
    </row>
    <row r="20" spans="1:6" s="6" customFormat="1" ht="15">
      <c r="A20" s="9" t="s">
        <v>22</v>
      </c>
      <c r="B20" s="10">
        <v>176</v>
      </c>
      <c r="C20" s="10">
        <v>0</v>
      </c>
      <c r="D20" s="10">
        <v>0</v>
      </c>
      <c r="E20" s="10">
        <v>0</v>
      </c>
      <c r="F20" s="10">
        <v>176</v>
      </c>
    </row>
    <row r="21" spans="1:6" ht="13.5">
      <c r="A21" s="9" t="s">
        <v>24</v>
      </c>
      <c r="B21" s="10">
        <v>30</v>
      </c>
      <c r="C21" s="10">
        <v>0</v>
      </c>
      <c r="D21" s="10">
        <v>0</v>
      </c>
      <c r="E21" s="10">
        <v>0</v>
      </c>
      <c r="F21" s="10">
        <v>30</v>
      </c>
    </row>
    <row r="22" spans="1:6" ht="13.5">
      <c r="A22" s="13" t="s">
        <v>0</v>
      </c>
      <c r="B22" s="13">
        <v>7553</v>
      </c>
      <c r="C22" s="13">
        <v>126</v>
      </c>
      <c r="D22" s="13">
        <v>69</v>
      </c>
      <c r="E22" s="13">
        <v>13882</v>
      </c>
      <c r="F22" s="13">
        <v>21630</v>
      </c>
    </row>
    <row r="23" spans="1:6" s="2" customFormat="1" ht="15">
      <c r="B23" s="1"/>
      <c r="C23" s="1"/>
      <c r="E23" s="1"/>
      <c r="F23" s="1"/>
    </row>
    <row r="24" spans="1:6" s="2" customFormat="1"/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3D125-0AD7-4FB7-9551-9DC353D1C657}">
  <sheetPr>
    <outlinePr applyStyles="1"/>
  </sheetPr>
  <dimension ref="A1:F37"/>
  <sheetViews>
    <sheetView view="pageBreakPreview" topLeftCell="A2" zoomScaleSheetLayoutView="100" workbookViewId="0">
      <selection activeCell="A22" sqref="A22:XFD22"/>
    </sheetView>
  </sheetViews>
  <sheetFormatPr defaultColWidth="9.125" defaultRowHeight="12.75"/>
  <cols>
    <col min="1" max="1" width="28" style="3" bestFit="1" customWidth="1"/>
    <col min="2" max="2" width="14.625" style="3" customWidth="1"/>
    <col min="3" max="3" width="16.25" style="3" customWidth="1"/>
    <col min="4" max="4" width="15.875" style="3" customWidth="1"/>
    <col min="5" max="6" width="14.625" style="3" customWidth="1"/>
    <col min="7" max="16384" width="9.125" style="3"/>
  </cols>
  <sheetData>
    <row r="1" spans="1:6" ht="80.099999999999994" customHeight="1">
      <c r="A1" s="18" t="s">
        <v>26</v>
      </c>
      <c r="B1" s="18"/>
      <c r="C1" s="18"/>
      <c r="D1" s="18"/>
      <c r="E1" s="18"/>
      <c r="F1" s="18"/>
    </row>
    <row r="2" spans="1:6" s="4" customFormat="1" ht="33">
      <c r="A2" s="15" t="s">
        <v>50</v>
      </c>
      <c r="B2" s="15"/>
      <c r="C2" s="15"/>
      <c r="D2" s="15"/>
      <c r="E2" s="15"/>
      <c r="F2" s="15"/>
    </row>
    <row r="3" spans="1:6" s="5" customFormat="1" ht="65.25" customHeight="1">
      <c r="A3" s="11" t="s">
        <v>25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129</v>
      </c>
      <c r="F4" s="10">
        <v>129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106</v>
      </c>
      <c r="F5" s="10">
        <v>106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77</v>
      </c>
      <c r="F6" s="10">
        <v>77</v>
      </c>
    </row>
    <row r="7" spans="1:6" ht="13.5">
      <c r="A7" s="9" t="s">
        <v>7</v>
      </c>
      <c r="B7" s="10">
        <v>0</v>
      </c>
      <c r="C7" s="10">
        <v>0</v>
      </c>
      <c r="D7" s="10">
        <v>4</v>
      </c>
      <c r="E7" s="10">
        <v>0</v>
      </c>
      <c r="F7" s="10">
        <v>4</v>
      </c>
    </row>
    <row r="8" spans="1:6" ht="13.5">
      <c r="A8" s="9" t="s">
        <v>8</v>
      </c>
      <c r="B8" s="10">
        <v>0</v>
      </c>
      <c r="C8" s="10">
        <v>0</v>
      </c>
      <c r="D8" s="10">
        <v>66</v>
      </c>
      <c r="E8" s="10">
        <v>0</v>
      </c>
      <c r="F8" s="10">
        <v>66</v>
      </c>
    </row>
    <row r="9" spans="1:6" s="6" customFormat="1" ht="15">
      <c r="A9" s="9" t="s">
        <v>9</v>
      </c>
      <c r="B9" s="10">
        <v>0</v>
      </c>
      <c r="C9" s="10">
        <v>126</v>
      </c>
      <c r="D9" s="10">
        <v>0</v>
      </c>
      <c r="E9" s="10">
        <v>0</v>
      </c>
      <c r="F9" s="10">
        <v>126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23</v>
      </c>
      <c r="F10" s="10">
        <v>23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74</v>
      </c>
      <c r="F11" s="10">
        <v>74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287</v>
      </c>
      <c r="F12" s="10">
        <v>287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269</v>
      </c>
      <c r="F13" s="10">
        <v>269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6271</v>
      </c>
      <c r="F14" s="10">
        <v>6271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4983</v>
      </c>
      <c r="F15" s="10">
        <v>4983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117</v>
      </c>
      <c r="F16" s="10">
        <v>117</v>
      </c>
    </row>
    <row r="17" spans="1:6" ht="14.25" customHeight="1">
      <c r="A17" s="9" t="s">
        <v>17</v>
      </c>
      <c r="B17" s="10">
        <v>7349</v>
      </c>
      <c r="C17" s="10">
        <v>0</v>
      </c>
      <c r="D17" s="10">
        <v>0</v>
      </c>
      <c r="E17" s="10">
        <v>0</v>
      </c>
      <c r="F17" s="10">
        <v>7349</v>
      </c>
    </row>
    <row r="18" spans="1:6" s="6" customFormat="1" ht="15">
      <c r="A18" s="9" t="s">
        <v>20</v>
      </c>
      <c r="B18" s="10">
        <v>0</v>
      </c>
      <c r="C18" s="10">
        <v>0</v>
      </c>
      <c r="D18" s="10">
        <v>0</v>
      </c>
      <c r="E18" s="10">
        <v>374</v>
      </c>
      <c r="F18" s="10">
        <v>374</v>
      </c>
    </row>
    <row r="19" spans="1:6" ht="13.5">
      <c r="A19" s="9" t="s">
        <v>21</v>
      </c>
      <c r="B19" s="10">
        <v>0</v>
      </c>
      <c r="C19" s="10">
        <v>0</v>
      </c>
      <c r="D19" s="10">
        <v>0</v>
      </c>
      <c r="E19" s="10">
        <v>1268</v>
      </c>
      <c r="F19" s="10">
        <v>1268</v>
      </c>
    </row>
    <row r="20" spans="1:6" s="6" customFormat="1" ht="15">
      <c r="A20" s="9" t="s">
        <v>22</v>
      </c>
      <c r="B20" s="10">
        <v>175</v>
      </c>
      <c r="C20" s="10">
        <v>0</v>
      </c>
      <c r="D20" s="10">
        <v>0</v>
      </c>
      <c r="E20" s="10">
        <v>0</v>
      </c>
      <c r="F20" s="10">
        <v>175</v>
      </c>
    </row>
    <row r="21" spans="1:6" ht="13.5">
      <c r="A21" s="9" t="s">
        <v>24</v>
      </c>
      <c r="B21" s="10">
        <v>29</v>
      </c>
      <c r="C21" s="10">
        <v>0</v>
      </c>
      <c r="D21" s="10">
        <v>0</v>
      </c>
      <c r="E21" s="10">
        <v>0</v>
      </c>
      <c r="F21" s="10">
        <v>29</v>
      </c>
    </row>
    <row r="22" spans="1:6" ht="13.5">
      <c r="A22" s="13" t="s">
        <v>0</v>
      </c>
      <c r="B22" s="13">
        <v>7553</v>
      </c>
      <c r="C22" s="13">
        <v>126</v>
      </c>
      <c r="D22" s="13">
        <v>70</v>
      </c>
      <c r="E22" s="13">
        <v>13978</v>
      </c>
      <c r="F22" s="13">
        <v>21727</v>
      </c>
    </row>
    <row r="23" spans="1:6" s="2" customFormat="1" ht="15">
      <c r="B23" s="1"/>
      <c r="C23" s="1"/>
      <c r="E23" s="1"/>
      <c r="F23" s="1"/>
    </row>
    <row r="24" spans="1:6" s="2" customFormat="1"/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F8EDB-A0D0-4FA4-90CE-C656E5E619CF}">
  <sheetPr>
    <outlinePr applyStyles="1"/>
  </sheetPr>
  <dimension ref="A1:F37"/>
  <sheetViews>
    <sheetView view="pageBreakPreview" topLeftCell="A2" zoomScaleSheetLayoutView="100" workbookViewId="0">
      <selection activeCell="A22" sqref="A22:XFD22"/>
    </sheetView>
  </sheetViews>
  <sheetFormatPr defaultColWidth="9.125" defaultRowHeight="12.75"/>
  <cols>
    <col min="1" max="1" width="28" style="3" bestFit="1" customWidth="1"/>
    <col min="2" max="2" width="14.625" style="3" customWidth="1"/>
    <col min="3" max="3" width="16.25" style="3" customWidth="1"/>
    <col min="4" max="4" width="15.875" style="3" customWidth="1"/>
    <col min="5" max="6" width="14.625" style="3" customWidth="1"/>
    <col min="7" max="16384" width="9.125" style="3"/>
  </cols>
  <sheetData>
    <row r="1" spans="1:6" ht="80.099999999999994" customHeight="1">
      <c r="A1" s="18" t="s">
        <v>26</v>
      </c>
      <c r="B1" s="18"/>
      <c r="C1" s="18"/>
      <c r="D1" s="18"/>
      <c r="E1" s="18"/>
      <c r="F1" s="18"/>
    </row>
    <row r="2" spans="1:6" s="4" customFormat="1" ht="33">
      <c r="A2" s="15" t="s">
        <v>50</v>
      </c>
      <c r="B2" s="15"/>
      <c r="C2" s="15"/>
      <c r="D2" s="15"/>
      <c r="E2" s="15"/>
      <c r="F2" s="15"/>
    </row>
    <row r="3" spans="1:6" s="5" customFormat="1" ht="65.25" customHeight="1">
      <c r="A3" s="11" t="s">
        <v>25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129</v>
      </c>
      <c r="F4" s="10">
        <v>129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106</v>
      </c>
      <c r="F5" s="10">
        <v>106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76</v>
      </c>
      <c r="F6" s="10">
        <v>76</v>
      </c>
    </row>
    <row r="7" spans="1:6" ht="13.5">
      <c r="A7" s="9" t="s">
        <v>7</v>
      </c>
      <c r="B7" s="10">
        <v>0</v>
      </c>
      <c r="C7" s="10">
        <v>0</v>
      </c>
      <c r="D7" s="10">
        <v>4</v>
      </c>
      <c r="E7" s="10">
        <v>0</v>
      </c>
      <c r="F7" s="10">
        <v>4</v>
      </c>
    </row>
    <row r="8" spans="1:6" ht="13.5">
      <c r="A8" s="9" t="s">
        <v>8</v>
      </c>
      <c r="B8" s="10">
        <v>0</v>
      </c>
      <c r="C8" s="10">
        <v>0</v>
      </c>
      <c r="D8" s="10">
        <v>66</v>
      </c>
      <c r="E8" s="10">
        <v>0</v>
      </c>
      <c r="F8" s="10">
        <v>66</v>
      </c>
    </row>
    <row r="9" spans="1:6" s="6" customFormat="1" ht="15">
      <c r="A9" s="9" t="s">
        <v>9</v>
      </c>
      <c r="B9" s="10">
        <v>0</v>
      </c>
      <c r="C9" s="10">
        <v>127</v>
      </c>
      <c r="D9" s="10">
        <v>0</v>
      </c>
      <c r="E9" s="10">
        <v>0</v>
      </c>
      <c r="F9" s="10">
        <v>127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23</v>
      </c>
      <c r="F10" s="10">
        <v>23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72</v>
      </c>
      <c r="F11" s="10">
        <v>72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268</v>
      </c>
      <c r="F12" s="10">
        <v>268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270</v>
      </c>
      <c r="F13" s="10">
        <v>270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6338</v>
      </c>
      <c r="F14" s="10">
        <v>6338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5000</v>
      </c>
      <c r="F15" s="10">
        <v>5000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114</v>
      </c>
      <c r="F16" s="10">
        <v>114</v>
      </c>
    </row>
    <row r="17" spans="1:6" ht="14.25" customHeight="1">
      <c r="A17" s="9" t="s">
        <v>17</v>
      </c>
      <c r="B17" s="10">
        <v>7339</v>
      </c>
      <c r="C17" s="10">
        <v>0</v>
      </c>
      <c r="D17" s="10">
        <v>0</v>
      </c>
      <c r="E17" s="10">
        <v>0</v>
      </c>
      <c r="F17" s="10">
        <v>7339</v>
      </c>
    </row>
    <row r="18" spans="1:6" s="6" customFormat="1" ht="15">
      <c r="A18" s="9" t="s">
        <v>20</v>
      </c>
      <c r="B18" s="10">
        <v>0</v>
      </c>
      <c r="C18" s="10">
        <v>0</v>
      </c>
      <c r="D18" s="10">
        <v>0</v>
      </c>
      <c r="E18" s="10">
        <v>371</v>
      </c>
      <c r="F18" s="10">
        <v>371</v>
      </c>
    </row>
    <row r="19" spans="1:6" ht="13.5">
      <c r="A19" s="9" t="s">
        <v>21</v>
      </c>
      <c r="B19" s="10">
        <v>0</v>
      </c>
      <c r="C19" s="10">
        <v>0</v>
      </c>
      <c r="D19" s="10">
        <v>0</v>
      </c>
      <c r="E19" s="10">
        <v>1263</v>
      </c>
      <c r="F19" s="10">
        <v>1263</v>
      </c>
    </row>
    <row r="20" spans="1:6" s="6" customFormat="1" ht="15">
      <c r="A20" s="9" t="s">
        <v>22</v>
      </c>
      <c r="B20" s="10">
        <v>172</v>
      </c>
      <c r="C20" s="10">
        <v>0</v>
      </c>
      <c r="D20" s="10">
        <v>0</v>
      </c>
      <c r="E20" s="10">
        <v>0</v>
      </c>
      <c r="F20" s="10">
        <v>172</v>
      </c>
    </row>
    <row r="21" spans="1:6" ht="13.5">
      <c r="A21" s="9" t="s">
        <v>24</v>
      </c>
      <c r="B21" s="10">
        <v>30</v>
      </c>
      <c r="C21" s="10">
        <v>0</v>
      </c>
      <c r="D21" s="10">
        <v>0</v>
      </c>
      <c r="E21" s="10">
        <v>0</v>
      </c>
      <c r="F21" s="10">
        <v>30</v>
      </c>
    </row>
    <row r="22" spans="1:6" ht="13.5">
      <c r="A22" s="13" t="s">
        <v>0</v>
      </c>
      <c r="B22" s="13">
        <v>7541</v>
      </c>
      <c r="C22" s="13">
        <v>127</v>
      </c>
      <c r="D22" s="13">
        <v>70</v>
      </c>
      <c r="E22" s="13">
        <v>14030</v>
      </c>
      <c r="F22" s="13">
        <v>21768</v>
      </c>
    </row>
    <row r="23" spans="1:6" s="2" customFormat="1" ht="15">
      <c r="B23" s="1"/>
      <c r="C23" s="1"/>
      <c r="E23" s="1"/>
      <c r="F23" s="1"/>
    </row>
    <row r="24" spans="1:6" s="2" customFormat="1"/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4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25407-A8AE-4726-B44A-505C2FB049D8}">
  <sheetPr>
    <outlinePr applyStyles="1"/>
  </sheetPr>
  <dimension ref="A1:F37"/>
  <sheetViews>
    <sheetView view="pageBreakPreview" topLeftCell="A2" zoomScaleSheetLayoutView="100" workbookViewId="0">
      <selection activeCell="A22" sqref="A22:XFD22"/>
    </sheetView>
  </sheetViews>
  <sheetFormatPr defaultColWidth="9.125" defaultRowHeight="12.75"/>
  <cols>
    <col min="1" max="1" width="28" style="3" bestFit="1" customWidth="1"/>
    <col min="2" max="2" width="14.625" style="3" customWidth="1"/>
    <col min="3" max="3" width="16.25" style="3" customWidth="1"/>
    <col min="4" max="4" width="15.875" style="3" customWidth="1"/>
    <col min="5" max="6" width="14.625" style="3" customWidth="1"/>
    <col min="7" max="16384" width="9.125" style="3"/>
  </cols>
  <sheetData>
    <row r="1" spans="1:6" ht="80.099999999999994" customHeight="1">
      <c r="A1" s="18" t="s">
        <v>26</v>
      </c>
      <c r="B1" s="18"/>
      <c r="C1" s="18"/>
      <c r="D1" s="18"/>
      <c r="E1" s="18"/>
      <c r="F1" s="18"/>
    </row>
    <row r="2" spans="1:6" s="4" customFormat="1" ht="33">
      <c r="A2" s="15" t="s">
        <v>50</v>
      </c>
      <c r="B2" s="15"/>
      <c r="C2" s="15"/>
      <c r="D2" s="15"/>
      <c r="E2" s="15"/>
      <c r="F2" s="15"/>
    </row>
    <row r="3" spans="1:6" s="5" customFormat="1" ht="65.25" customHeight="1">
      <c r="A3" s="11" t="s">
        <v>25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133</v>
      </c>
      <c r="F4" s="10">
        <v>133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108</v>
      </c>
      <c r="F5" s="10">
        <v>108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76</v>
      </c>
      <c r="F6" s="10">
        <v>76</v>
      </c>
    </row>
    <row r="7" spans="1:6" ht="13.5">
      <c r="A7" s="9" t="s">
        <v>7</v>
      </c>
      <c r="B7" s="10">
        <v>0</v>
      </c>
      <c r="C7" s="10">
        <v>0</v>
      </c>
      <c r="D7" s="10">
        <v>4</v>
      </c>
      <c r="E7" s="10">
        <v>0</v>
      </c>
      <c r="F7" s="10">
        <v>4</v>
      </c>
    </row>
    <row r="8" spans="1:6" ht="13.5">
      <c r="A8" s="9" t="s">
        <v>8</v>
      </c>
      <c r="B8" s="10">
        <v>0</v>
      </c>
      <c r="C8" s="10">
        <v>0</v>
      </c>
      <c r="D8" s="10">
        <v>67</v>
      </c>
      <c r="E8" s="10">
        <v>0</v>
      </c>
      <c r="F8" s="10">
        <v>67</v>
      </c>
    </row>
    <row r="9" spans="1:6" s="6" customFormat="1" ht="15">
      <c r="A9" s="9" t="s">
        <v>9</v>
      </c>
      <c r="B9" s="10">
        <v>0</v>
      </c>
      <c r="C9" s="10">
        <v>129</v>
      </c>
      <c r="D9" s="10">
        <v>0</v>
      </c>
      <c r="E9" s="10">
        <v>0</v>
      </c>
      <c r="F9" s="10">
        <v>129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22</v>
      </c>
      <c r="F10" s="10">
        <v>22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18</v>
      </c>
      <c r="F11" s="10">
        <v>18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263</v>
      </c>
      <c r="F12" s="10">
        <v>263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275</v>
      </c>
      <c r="F13" s="10">
        <v>275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6434</v>
      </c>
      <c r="F14" s="10">
        <v>6434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5068</v>
      </c>
      <c r="F15" s="10">
        <v>5068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116</v>
      </c>
      <c r="F16" s="10">
        <v>116</v>
      </c>
    </row>
    <row r="17" spans="1:6" ht="14.25" customHeight="1">
      <c r="A17" s="9" t="s">
        <v>17</v>
      </c>
      <c r="B17" s="10">
        <v>7321</v>
      </c>
      <c r="C17" s="10">
        <v>0</v>
      </c>
      <c r="D17" s="10">
        <v>0</v>
      </c>
      <c r="E17" s="10">
        <v>0</v>
      </c>
      <c r="F17" s="10">
        <v>7321</v>
      </c>
    </row>
    <row r="18" spans="1:6" s="6" customFormat="1" ht="15">
      <c r="A18" s="9" t="s">
        <v>20</v>
      </c>
      <c r="B18" s="10">
        <v>0</v>
      </c>
      <c r="C18" s="10">
        <v>0</v>
      </c>
      <c r="D18" s="10">
        <v>0</v>
      </c>
      <c r="E18" s="10">
        <v>369</v>
      </c>
      <c r="F18" s="10">
        <v>369</v>
      </c>
    </row>
    <row r="19" spans="1:6" ht="13.5">
      <c r="A19" s="9" t="s">
        <v>21</v>
      </c>
      <c r="B19" s="10">
        <v>0</v>
      </c>
      <c r="C19" s="10">
        <v>0</v>
      </c>
      <c r="D19" s="10">
        <v>0</v>
      </c>
      <c r="E19" s="10">
        <v>1254</v>
      </c>
      <c r="F19" s="10">
        <v>1254</v>
      </c>
    </row>
    <row r="20" spans="1:6" s="6" customFormat="1" ht="15">
      <c r="A20" s="9" t="s">
        <v>22</v>
      </c>
      <c r="B20" s="10">
        <v>176</v>
      </c>
      <c r="C20" s="10">
        <v>0</v>
      </c>
      <c r="D20" s="10">
        <v>0</v>
      </c>
      <c r="E20" s="10">
        <v>0</v>
      </c>
      <c r="F20" s="10">
        <v>176</v>
      </c>
    </row>
    <row r="21" spans="1:6" ht="13.5">
      <c r="A21" s="9" t="s">
        <v>24</v>
      </c>
      <c r="B21" s="10">
        <v>30</v>
      </c>
      <c r="C21" s="10">
        <v>0</v>
      </c>
      <c r="D21" s="10">
        <v>0</v>
      </c>
      <c r="E21" s="10">
        <v>0</v>
      </c>
      <c r="F21" s="10">
        <v>30</v>
      </c>
    </row>
    <row r="22" spans="1:6" ht="13.5">
      <c r="A22" s="13" t="s">
        <v>0</v>
      </c>
      <c r="B22" s="13">
        <v>7527</v>
      </c>
      <c r="C22" s="13">
        <v>129</v>
      </c>
      <c r="D22" s="13">
        <v>71</v>
      </c>
      <c r="E22" s="13">
        <v>14136</v>
      </c>
      <c r="F22" s="13">
        <v>21863</v>
      </c>
    </row>
    <row r="23" spans="1:6" s="2" customFormat="1" ht="15">
      <c r="B23" s="1"/>
      <c r="C23" s="1"/>
      <c r="E23" s="1"/>
      <c r="F23" s="1"/>
    </row>
    <row r="24" spans="1:6" s="2" customFormat="1"/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4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CC7FC-447C-49DB-8AAD-4E4E343C9FB2}">
  <sheetPr>
    <outlinePr applyStyles="1"/>
  </sheetPr>
  <dimension ref="A1:F37"/>
  <sheetViews>
    <sheetView view="pageBreakPreview" topLeftCell="A2" zoomScaleSheetLayoutView="100" workbookViewId="0">
      <selection activeCell="A22" sqref="A22:XFD22"/>
    </sheetView>
  </sheetViews>
  <sheetFormatPr defaultColWidth="9.125" defaultRowHeight="12.75"/>
  <cols>
    <col min="1" max="1" width="28" style="3" bestFit="1" customWidth="1"/>
    <col min="2" max="2" width="14.625" style="3" customWidth="1"/>
    <col min="3" max="3" width="16.25" style="3" customWidth="1"/>
    <col min="4" max="4" width="15.875" style="3" customWidth="1"/>
    <col min="5" max="6" width="14.625" style="3" customWidth="1"/>
    <col min="7" max="16384" width="9.125" style="3"/>
  </cols>
  <sheetData>
    <row r="1" spans="1:6" ht="80.099999999999994" customHeight="1">
      <c r="A1" s="18" t="s">
        <v>26</v>
      </c>
      <c r="B1" s="18"/>
      <c r="C1" s="18"/>
      <c r="D1" s="18"/>
      <c r="E1" s="18"/>
      <c r="F1" s="18"/>
    </row>
    <row r="2" spans="1:6" s="4" customFormat="1" ht="33">
      <c r="A2" s="15" t="s">
        <v>50</v>
      </c>
      <c r="B2" s="15"/>
      <c r="C2" s="15"/>
      <c r="D2" s="15"/>
      <c r="E2" s="15"/>
      <c r="F2" s="15"/>
    </row>
    <row r="3" spans="1:6" s="5" customFormat="1" ht="65.25" customHeight="1">
      <c r="A3" s="11" t="s">
        <v>25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135</v>
      </c>
      <c r="F4" s="10">
        <v>135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109</v>
      </c>
      <c r="F5" s="10">
        <v>109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75</v>
      </c>
      <c r="F6" s="10">
        <v>75</v>
      </c>
    </row>
    <row r="7" spans="1:6" ht="13.5">
      <c r="A7" s="9" t="s">
        <v>7</v>
      </c>
      <c r="B7" s="10">
        <v>0</v>
      </c>
      <c r="C7" s="10">
        <v>0</v>
      </c>
      <c r="D7" s="10">
        <v>4</v>
      </c>
      <c r="E7" s="10">
        <v>0</v>
      </c>
      <c r="F7" s="10">
        <v>4</v>
      </c>
    </row>
    <row r="8" spans="1:6" ht="13.5">
      <c r="A8" s="9" t="s">
        <v>8</v>
      </c>
      <c r="B8" s="10">
        <v>0</v>
      </c>
      <c r="C8" s="10">
        <v>0</v>
      </c>
      <c r="D8" s="10">
        <v>67</v>
      </c>
      <c r="E8" s="10">
        <v>0</v>
      </c>
      <c r="F8" s="10">
        <v>67</v>
      </c>
    </row>
    <row r="9" spans="1:6" s="6" customFormat="1" ht="15">
      <c r="A9" s="9" t="s">
        <v>9</v>
      </c>
      <c r="B9" s="10">
        <v>0</v>
      </c>
      <c r="C9" s="10">
        <v>130</v>
      </c>
      <c r="D9" s="10">
        <v>0</v>
      </c>
      <c r="E9" s="10">
        <v>0</v>
      </c>
      <c r="F9" s="10">
        <v>130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22</v>
      </c>
      <c r="F10" s="10">
        <v>22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18</v>
      </c>
      <c r="F11" s="10">
        <v>18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253</v>
      </c>
      <c r="F12" s="10">
        <v>253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282</v>
      </c>
      <c r="F13" s="10">
        <v>282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6532</v>
      </c>
      <c r="F14" s="10">
        <v>6532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5102</v>
      </c>
      <c r="F15" s="10">
        <v>5102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115</v>
      </c>
      <c r="F16" s="10">
        <v>115</v>
      </c>
    </row>
    <row r="17" spans="1:6" ht="14.25" customHeight="1">
      <c r="A17" s="9" t="s">
        <v>17</v>
      </c>
      <c r="B17" s="10">
        <v>7311</v>
      </c>
      <c r="C17" s="10">
        <v>0</v>
      </c>
      <c r="D17" s="10">
        <v>0</v>
      </c>
      <c r="E17" s="10">
        <v>0</v>
      </c>
      <c r="F17" s="10">
        <v>7311</v>
      </c>
    </row>
    <row r="18" spans="1:6" s="6" customFormat="1" ht="15">
      <c r="A18" s="9" t="s">
        <v>20</v>
      </c>
      <c r="B18" s="10">
        <v>0</v>
      </c>
      <c r="C18" s="10">
        <v>0</v>
      </c>
      <c r="D18" s="10">
        <v>0</v>
      </c>
      <c r="E18" s="10">
        <v>367</v>
      </c>
      <c r="F18" s="10">
        <v>367</v>
      </c>
    </row>
    <row r="19" spans="1:6" ht="13.5">
      <c r="A19" s="9" t="s">
        <v>21</v>
      </c>
      <c r="B19" s="10">
        <v>0</v>
      </c>
      <c r="C19" s="10">
        <v>0</v>
      </c>
      <c r="D19" s="10">
        <v>0</v>
      </c>
      <c r="E19" s="10">
        <v>1260</v>
      </c>
      <c r="F19" s="10">
        <v>1260</v>
      </c>
    </row>
    <row r="20" spans="1:6" s="6" customFormat="1" ht="15">
      <c r="A20" s="9" t="s">
        <v>22</v>
      </c>
      <c r="B20" s="10">
        <v>174</v>
      </c>
      <c r="C20" s="10">
        <v>0</v>
      </c>
      <c r="D20" s="10">
        <v>0</v>
      </c>
      <c r="E20" s="10">
        <v>0</v>
      </c>
      <c r="F20" s="10">
        <v>174</v>
      </c>
    </row>
    <row r="21" spans="1:6" ht="13.5">
      <c r="A21" s="9" t="s">
        <v>24</v>
      </c>
      <c r="B21" s="10">
        <v>30</v>
      </c>
      <c r="C21" s="10">
        <v>0</v>
      </c>
      <c r="D21" s="10">
        <v>0</v>
      </c>
      <c r="E21" s="10">
        <v>0</v>
      </c>
      <c r="F21" s="10">
        <v>30</v>
      </c>
    </row>
    <row r="22" spans="1:6" ht="13.5">
      <c r="A22" s="13" t="s">
        <v>0</v>
      </c>
      <c r="B22" s="13">
        <v>7515</v>
      </c>
      <c r="C22" s="13">
        <v>130</v>
      </c>
      <c r="D22" s="13">
        <v>71</v>
      </c>
      <c r="E22" s="13">
        <v>14270</v>
      </c>
      <c r="F22" s="13">
        <v>21986</v>
      </c>
    </row>
    <row r="23" spans="1:6" s="2" customFormat="1" ht="15">
      <c r="B23" s="1"/>
      <c r="C23" s="1"/>
      <c r="E23" s="1"/>
      <c r="F23" s="1"/>
    </row>
    <row r="24" spans="1:6" s="2" customFormat="1"/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4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1F5D8-1AEB-417B-8554-59C96A8D72B4}">
  <sheetPr>
    <outlinePr applyStyles="1"/>
  </sheetPr>
  <dimension ref="A1:F37"/>
  <sheetViews>
    <sheetView view="pageBreakPreview" topLeftCell="A2" zoomScaleSheetLayoutView="100" workbookViewId="0">
      <selection activeCell="A22" sqref="A22:XFD22"/>
    </sheetView>
  </sheetViews>
  <sheetFormatPr defaultColWidth="9.125" defaultRowHeight="12.75"/>
  <cols>
    <col min="1" max="1" width="28" style="3" bestFit="1" customWidth="1"/>
    <col min="2" max="2" width="14.625" style="3" customWidth="1"/>
    <col min="3" max="3" width="16.25" style="3" customWidth="1"/>
    <col min="4" max="4" width="15.875" style="3" customWidth="1"/>
    <col min="5" max="6" width="14.625" style="3" customWidth="1"/>
    <col min="7" max="16384" width="9.125" style="3"/>
  </cols>
  <sheetData>
    <row r="1" spans="1:6" ht="80.099999999999994" customHeight="1">
      <c r="A1" s="18" t="s">
        <v>26</v>
      </c>
      <c r="B1" s="18"/>
      <c r="C1" s="18"/>
      <c r="D1" s="18"/>
      <c r="E1" s="18"/>
      <c r="F1" s="18"/>
    </row>
    <row r="2" spans="1:6" s="4" customFormat="1" ht="33">
      <c r="A2" s="15" t="s">
        <v>50</v>
      </c>
      <c r="B2" s="15"/>
      <c r="C2" s="15"/>
      <c r="D2" s="15"/>
      <c r="E2" s="15"/>
      <c r="F2" s="15"/>
    </row>
    <row r="3" spans="1:6" s="5" customFormat="1" ht="65.25" customHeight="1">
      <c r="A3" s="11" t="s">
        <v>25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137</v>
      </c>
      <c r="F4" s="10">
        <v>137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111</v>
      </c>
      <c r="F5" s="10">
        <v>111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76</v>
      </c>
      <c r="F6" s="10">
        <v>76</v>
      </c>
    </row>
    <row r="7" spans="1:6" ht="13.5">
      <c r="A7" s="9" t="s">
        <v>7</v>
      </c>
      <c r="B7" s="10">
        <v>0</v>
      </c>
      <c r="C7" s="10">
        <v>0</v>
      </c>
      <c r="D7" s="10">
        <v>4</v>
      </c>
      <c r="E7" s="10">
        <v>0</v>
      </c>
      <c r="F7" s="10">
        <v>4</v>
      </c>
    </row>
    <row r="8" spans="1:6" ht="13.5">
      <c r="A8" s="9" t="s">
        <v>8</v>
      </c>
      <c r="B8" s="10">
        <v>0</v>
      </c>
      <c r="C8" s="10">
        <v>0</v>
      </c>
      <c r="D8" s="10">
        <v>67</v>
      </c>
      <c r="E8" s="10">
        <v>0</v>
      </c>
      <c r="F8" s="10">
        <v>67</v>
      </c>
    </row>
    <row r="9" spans="1:6" s="6" customFormat="1" ht="15">
      <c r="A9" s="9" t="s">
        <v>9</v>
      </c>
      <c r="B9" s="10">
        <v>0</v>
      </c>
      <c r="C9" s="10">
        <v>132</v>
      </c>
      <c r="D9" s="10">
        <v>0</v>
      </c>
      <c r="E9" s="10">
        <v>0</v>
      </c>
      <c r="F9" s="10">
        <v>132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22</v>
      </c>
      <c r="F10" s="10">
        <v>22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18</v>
      </c>
      <c r="F11" s="10">
        <v>18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246</v>
      </c>
      <c r="F12" s="10">
        <v>246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284</v>
      </c>
      <c r="F13" s="10">
        <v>284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6636</v>
      </c>
      <c r="F14" s="10">
        <v>6636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5117</v>
      </c>
      <c r="F15" s="10">
        <v>5117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114</v>
      </c>
      <c r="F16" s="10">
        <v>114</v>
      </c>
    </row>
    <row r="17" spans="1:6" ht="14.25" customHeight="1">
      <c r="A17" s="9" t="s">
        <v>17</v>
      </c>
      <c r="B17" s="10">
        <v>7298</v>
      </c>
      <c r="C17" s="10">
        <v>0</v>
      </c>
      <c r="D17" s="10">
        <v>0</v>
      </c>
      <c r="E17" s="10">
        <v>0</v>
      </c>
      <c r="F17" s="10">
        <v>7298</v>
      </c>
    </row>
    <row r="18" spans="1:6" s="6" customFormat="1" ht="15">
      <c r="A18" s="9" t="s">
        <v>20</v>
      </c>
      <c r="B18" s="10">
        <v>0</v>
      </c>
      <c r="C18" s="10">
        <v>0</v>
      </c>
      <c r="D18" s="10">
        <v>0</v>
      </c>
      <c r="E18" s="10">
        <v>367</v>
      </c>
      <c r="F18" s="10">
        <v>367</v>
      </c>
    </row>
    <row r="19" spans="1:6" ht="13.5">
      <c r="A19" s="9" t="s">
        <v>21</v>
      </c>
      <c r="B19" s="10">
        <v>0</v>
      </c>
      <c r="C19" s="10">
        <v>0</v>
      </c>
      <c r="D19" s="10">
        <v>0</v>
      </c>
      <c r="E19" s="10">
        <v>1265</v>
      </c>
      <c r="F19" s="10">
        <v>1265</v>
      </c>
    </row>
    <row r="20" spans="1:6" s="6" customFormat="1" ht="15">
      <c r="A20" s="9" t="s">
        <v>22</v>
      </c>
      <c r="B20" s="10">
        <v>172</v>
      </c>
      <c r="C20" s="10">
        <v>0</v>
      </c>
      <c r="D20" s="10">
        <v>0</v>
      </c>
      <c r="E20" s="10">
        <v>0</v>
      </c>
      <c r="F20" s="10">
        <v>172</v>
      </c>
    </row>
    <row r="21" spans="1:6" ht="13.5">
      <c r="A21" s="9" t="s">
        <v>24</v>
      </c>
      <c r="B21" s="10">
        <v>31</v>
      </c>
      <c r="C21" s="10">
        <v>0</v>
      </c>
      <c r="D21" s="10">
        <v>0</v>
      </c>
      <c r="E21" s="10">
        <v>0</v>
      </c>
      <c r="F21" s="10">
        <v>31</v>
      </c>
    </row>
    <row r="22" spans="1:6" ht="13.5">
      <c r="A22" s="13" t="s">
        <v>0</v>
      </c>
      <c r="B22" s="13">
        <v>7501</v>
      </c>
      <c r="C22" s="13">
        <v>132</v>
      </c>
      <c r="D22" s="13">
        <v>71</v>
      </c>
      <c r="E22" s="13">
        <v>14393</v>
      </c>
      <c r="F22" s="13">
        <v>22097</v>
      </c>
    </row>
    <row r="23" spans="1:6" s="2" customFormat="1" ht="15">
      <c r="B23" s="1"/>
      <c r="C23" s="1"/>
      <c r="E23" s="1"/>
      <c r="F23" s="1"/>
    </row>
    <row r="24" spans="1:6" s="2" customFormat="1"/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4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EE1D-FF8F-4DE6-A534-A6BBF05AEEDF}">
  <sheetPr>
    <outlinePr applyStyles="1"/>
  </sheetPr>
  <dimension ref="A1:F37"/>
  <sheetViews>
    <sheetView view="pageBreakPreview" topLeftCell="A2" zoomScaleSheetLayoutView="100" workbookViewId="0">
      <selection activeCell="A22" sqref="A22:XFD22"/>
    </sheetView>
  </sheetViews>
  <sheetFormatPr defaultColWidth="9.125" defaultRowHeight="12.75"/>
  <cols>
    <col min="1" max="1" width="28" style="3" bestFit="1" customWidth="1"/>
    <col min="2" max="2" width="14.625" style="3" customWidth="1"/>
    <col min="3" max="3" width="16.25" style="3" customWidth="1"/>
    <col min="4" max="4" width="15.875" style="3" customWidth="1"/>
    <col min="5" max="6" width="14.625" style="3" customWidth="1"/>
    <col min="7" max="16384" width="9.125" style="3"/>
  </cols>
  <sheetData>
    <row r="1" spans="1:6" ht="80.099999999999994" customHeight="1">
      <c r="A1" s="18" t="s">
        <v>26</v>
      </c>
      <c r="B1" s="18"/>
      <c r="C1" s="18"/>
      <c r="D1" s="18"/>
      <c r="E1" s="18"/>
      <c r="F1" s="18"/>
    </row>
    <row r="2" spans="1:6" s="4" customFormat="1" ht="33">
      <c r="A2" s="15" t="s">
        <v>50</v>
      </c>
      <c r="B2" s="15"/>
      <c r="C2" s="15"/>
      <c r="D2" s="15"/>
      <c r="E2" s="15"/>
      <c r="F2" s="15"/>
    </row>
    <row r="3" spans="1:6" s="5" customFormat="1" ht="65.25" customHeight="1">
      <c r="A3" s="11" t="s">
        <v>25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142</v>
      </c>
      <c r="F4" s="10">
        <v>142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113</v>
      </c>
      <c r="F5" s="10">
        <v>113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76</v>
      </c>
      <c r="F6" s="10">
        <v>76</v>
      </c>
    </row>
    <row r="7" spans="1:6" ht="13.5">
      <c r="A7" s="9" t="s">
        <v>7</v>
      </c>
      <c r="B7" s="10">
        <v>0</v>
      </c>
      <c r="C7" s="10">
        <v>0</v>
      </c>
      <c r="D7" s="10">
        <v>4</v>
      </c>
      <c r="E7" s="10">
        <v>0</v>
      </c>
      <c r="F7" s="10">
        <v>4</v>
      </c>
    </row>
    <row r="8" spans="1:6" ht="13.5">
      <c r="A8" s="9" t="s">
        <v>8</v>
      </c>
      <c r="B8" s="10">
        <v>0</v>
      </c>
      <c r="C8" s="10">
        <v>0</v>
      </c>
      <c r="D8" s="10">
        <v>66</v>
      </c>
      <c r="E8" s="10">
        <v>0</v>
      </c>
      <c r="F8" s="10">
        <v>66</v>
      </c>
    </row>
    <row r="9" spans="1:6" s="6" customFormat="1" ht="15">
      <c r="A9" s="9" t="s">
        <v>9</v>
      </c>
      <c r="B9" s="10">
        <v>0</v>
      </c>
      <c r="C9" s="10">
        <v>132</v>
      </c>
      <c r="D9" s="10">
        <v>0</v>
      </c>
      <c r="E9" s="10">
        <v>0</v>
      </c>
      <c r="F9" s="10">
        <v>132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22</v>
      </c>
      <c r="F10" s="10">
        <v>22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18</v>
      </c>
      <c r="F11" s="10">
        <v>18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240</v>
      </c>
      <c r="F12" s="10">
        <v>240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285</v>
      </c>
      <c r="F13" s="10">
        <v>285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6692</v>
      </c>
      <c r="F14" s="10">
        <v>6692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5142</v>
      </c>
      <c r="F15" s="10">
        <v>5142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112</v>
      </c>
      <c r="F16" s="10">
        <v>112</v>
      </c>
    </row>
    <row r="17" spans="1:6" ht="14.25" customHeight="1">
      <c r="A17" s="9" t="s">
        <v>17</v>
      </c>
      <c r="B17" s="10">
        <v>7278</v>
      </c>
      <c r="C17" s="10">
        <v>0</v>
      </c>
      <c r="D17" s="10">
        <v>0</v>
      </c>
      <c r="E17" s="10">
        <v>0</v>
      </c>
      <c r="F17" s="10">
        <v>7278</v>
      </c>
    </row>
    <row r="18" spans="1:6" s="6" customFormat="1" ht="15">
      <c r="A18" s="9" t="s">
        <v>20</v>
      </c>
      <c r="B18" s="10">
        <v>0</v>
      </c>
      <c r="C18" s="10">
        <v>0</v>
      </c>
      <c r="D18" s="10">
        <v>0</v>
      </c>
      <c r="E18" s="10">
        <v>365</v>
      </c>
      <c r="F18" s="10">
        <v>365</v>
      </c>
    </row>
    <row r="19" spans="1:6" ht="13.5">
      <c r="A19" s="9" t="s">
        <v>21</v>
      </c>
      <c r="B19" s="10">
        <v>0</v>
      </c>
      <c r="C19" s="10">
        <v>0</v>
      </c>
      <c r="D19" s="10">
        <v>0</v>
      </c>
      <c r="E19" s="10">
        <v>1264</v>
      </c>
      <c r="F19" s="10">
        <v>1264</v>
      </c>
    </row>
    <row r="20" spans="1:6" s="6" customFormat="1" ht="15">
      <c r="A20" s="9" t="s">
        <v>22</v>
      </c>
      <c r="B20" s="10">
        <v>173</v>
      </c>
      <c r="C20" s="10">
        <v>0</v>
      </c>
      <c r="D20" s="10">
        <v>0</v>
      </c>
      <c r="E20" s="10">
        <v>0</v>
      </c>
      <c r="F20" s="10">
        <v>173</v>
      </c>
    </row>
    <row r="21" spans="1:6" ht="13.5">
      <c r="A21" s="9" t="s">
        <v>24</v>
      </c>
      <c r="B21" s="10">
        <v>31</v>
      </c>
      <c r="C21" s="10">
        <v>0</v>
      </c>
      <c r="D21" s="10">
        <v>0</v>
      </c>
      <c r="E21" s="10">
        <v>0</v>
      </c>
      <c r="F21" s="10">
        <v>31</v>
      </c>
    </row>
    <row r="22" spans="1:6" ht="13.5">
      <c r="A22" s="13" t="s">
        <v>0</v>
      </c>
      <c r="B22" s="13">
        <v>7482</v>
      </c>
      <c r="C22" s="13">
        <v>132</v>
      </c>
      <c r="D22" s="13">
        <v>70</v>
      </c>
      <c r="E22" s="13">
        <v>14471</v>
      </c>
      <c r="F22" s="13">
        <v>22155</v>
      </c>
    </row>
    <row r="23" spans="1:6" s="2" customFormat="1" ht="15">
      <c r="B23" s="1"/>
      <c r="C23" s="1"/>
      <c r="E23" s="1"/>
      <c r="F23" s="1"/>
    </row>
    <row r="24" spans="1:6" s="2" customFormat="1"/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4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CB8AA-7633-41B5-9CFD-4A94F30E699A}">
  <sheetPr>
    <outlinePr applyStyles="1"/>
  </sheetPr>
  <dimension ref="A1:F37"/>
  <sheetViews>
    <sheetView view="pageBreakPreview" topLeftCell="A16" zoomScaleSheetLayoutView="100" workbookViewId="0">
      <selection activeCell="E44" sqref="E44"/>
    </sheetView>
  </sheetViews>
  <sheetFormatPr defaultColWidth="9.125" defaultRowHeight="12.75"/>
  <cols>
    <col min="1" max="1" width="28" style="3" bestFit="1" customWidth="1"/>
    <col min="2" max="2" width="14.625" style="3" customWidth="1"/>
    <col min="3" max="3" width="16.25" style="3" customWidth="1"/>
    <col min="4" max="4" width="15.875" style="3" customWidth="1"/>
    <col min="5" max="6" width="14.625" style="3" customWidth="1"/>
    <col min="7" max="16384" width="9.125" style="3"/>
  </cols>
  <sheetData>
    <row r="1" spans="1:6" ht="80.099999999999994" customHeight="1">
      <c r="A1" s="18" t="s">
        <v>26</v>
      </c>
      <c r="B1" s="18"/>
      <c r="C1" s="18"/>
      <c r="D1" s="18"/>
      <c r="E1" s="18"/>
      <c r="F1" s="18"/>
    </row>
    <row r="2" spans="1:6" s="4" customFormat="1" ht="33">
      <c r="A2" s="15" t="s">
        <v>50</v>
      </c>
      <c r="B2" s="15"/>
      <c r="C2" s="15"/>
      <c r="D2" s="15"/>
      <c r="E2" s="15"/>
      <c r="F2" s="15"/>
    </row>
    <row r="3" spans="1:6" s="5" customFormat="1" ht="65.25" customHeight="1">
      <c r="A3" s="11" t="s">
        <v>25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148</v>
      </c>
      <c r="F4" s="10">
        <v>148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115</v>
      </c>
      <c r="F5" s="10">
        <v>115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77</v>
      </c>
      <c r="F6" s="10">
        <v>77</v>
      </c>
    </row>
    <row r="7" spans="1:6" ht="13.5">
      <c r="A7" s="9" t="s">
        <v>7</v>
      </c>
      <c r="B7" s="10">
        <v>0</v>
      </c>
      <c r="C7" s="10">
        <v>0</v>
      </c>
      <c r="D7" s="10">
        <v>4</v>
      </c>
      <c r="E7" s="10">
        <v>0</v>
      </c>
      <c r="F7" s="10">
        <v>4</v>
      </c>
    </row>
    <row r="8" spans="1:6" ht="13.5">
      <c r="A8" s="9" t="s">
        <v>8</v>
      </c>
      <c r="B8" s="10">
        <v>0</v>
      </c>
      <c r="C8" s="10">
        <v>0</v>
      </c>
      <c r="D8" s="10">
        <v>68</v>
      </c>
      <c r="E8" s="10">
        <v>0</v>
      </c>
      <c r="F8" s="10">
        <v>68</v>
      </c>
    </row>
    <row r="9" spans="1:6" s="6" customFormat="1" ht="15">
      <c r="A9" s="9" t="s">
        <v>9</v>
      </c>
      <c r="B9" s="10">
        <v>0</v>
      </c>
      <c r="C9" s="10">
        <v>132</v>
      </c>
      <c r="D9" s="10">
        <v>0</v>
      </c>
      <c r="E9" s="10">
        <v>0</v>
      </c>
      <c r="F9" s="10">
        <v>132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21</v>
      </c>
      <c r="F10" s="10">
        <v>21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18</v>
      </c>
      <c r="F11" s="10">
        <v>18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231</v>
      </c>
      <c r="F12" s="10">
        <v>231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287</v>
      </c>
      <c r="F13" s="10">
        <v>287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6773</v>
      </c>
      <c r="F14" s="10">
        <v>6773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5160</v>
      </c>
      <c r="F15" s="10">
        <v>5160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112</v>
      </c>
      <c r="F16" s="10">
        <v>112</v>
      </c>
    </row>
    <row r="17" spans="1:6" ht="14.25" customHeight="1">
      <c r="A17" s="9" t="s">
        <v>17</v>
      </c>
      <c r="B17" s="10">
        <v>7268</v>
      </c>
      <c r="C17" s="10">
        <v>0</v>
      </c>
      <c r="D17" s="10">
        <v>0</v>
      </c>
      <c r="E17" s="10">
        <v>0</v>
      </c>
      <c r="F17" s="10">
        <v>7268</v>
      </c>
    </row>
    <row r="18" spans="1:6" s="6" customFormat="1" ht="15">
      <c r="A18" s="9" t="s">
        <v>20</v>
      </c>
      <c r="B18" s="10">
        <v>0</v>
      </c>
      <c r="C18" s="10">
        <v>0</v>
      </c>
      <c r="D18" s="10">
        <v>0</v>
      </c>
      <c r="E18" s="10">
        <v>365</v>
      </c>
      <c r="F18" s="10">
        <v>365</v>
      </c>
    </row>
    <row r="19" spans="1:6" ht="13.5">
      <c r="A19" s="9" t="s">
        <v>21</v>
      </c>
      <c r="B19" s="10">
        <v>0</v>
      </c>
      <c r="C19" s="10">
        <v>0</v>
      </c>
      <c r="D19" s="10">
        <v>0</v>
      </c>
      <c r="E19" s="10">
        <v>1264</v>
      </c>
      <c r="F19" s="10">
        <v>1264</v>
      </c>
    </row>
    <row r="20" spans="1:6" s="6" customFormat="1" ht="15">
      <c r="A20" s="9" t="s">
        <v>22</v>
      </c>
      <c r="B20" s="10">
        <v>175</v>
      </c>
      <c r="C20" s="10">
        <v>0</v>
      </c>
      <c r="D20" s="10">
        <v>0</v>
      </c>
      <c r="E20" s="10">
        <v>0</v>
      </c>
      <c r="F20" s="10">
        <v>175</v>
      </c>
    </row>
    <row r="21" spans="1:6" ht="13.5">
      <c r="A21" s="9" t="s">
        <v>24</v>
      </c>
      <c r="B21" s="10">
        <v>31</v>
      </c>
      <c r="C21" s="10">
        <v>0</v>
      </c>
      <c r="D21" s="10">
        <v>0</v>
      </c>
      <c r="E21" s="10">
        <v>0</v>
      </c>
      <c r="F21" s="10">
        <v>31</v>
      </c>
    </row>
    <row r="22" spans="1:6" ht="13.5">
      <c r="A22" s="13" t="s">
        <v>0</v>
      </c>
      <c r="B22" s="13">
        <v>7474</v>
      </c>
      <c r="C22" s="13">
        <v>132</v>
      </c>
      <c r="D22" s="13">
        <v>72</v>
      </c>
      <c r="E22" s="13">
        <v>14571</v>
      </c>
      <c r="F22" s="13">
        <v>22249</v>
      </c>
    </row>
    <row r="23" spans="1:6" s="2" customFormat="1" ht="15">
      <c r="B23" s="1"/>
      <c r="C23" s="1"/>
      <c r="E23" s="1"/>
      <c r="F23" s="1"/>
    </row>
    <row r="24" spans="1:6" s="2" customFormat="1"/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4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FA362-B030-4818-94A1-0543FD8BCEB6}">
  <sheetPr>
    <outlinePr applyStyles="1"/>
  </sheetPr>
  <dimension ref="A1:F37"/>
  <sheetViews>
    <sheetView view="pageBreakPreview" topLeftCell="A4" zoomScaleSheetLayoutView="100" workbookViewId="0">
      <selection activeCell="B22" sqref="B22"/>
    </sheetView>
  </sheetViews>
  <sheetFormatPr defaultColWidth="9.125" defaultRowHeight="12.75"/>
  <cols>
    <col min="1" max="1" width="28" style="3" bestFit="1" customWidth="1"/>
    <col min="2" max="2" width="14.625" style="3" customWidth="1"/>
    <col min="3" max="3" width="16.25" style="3" customWidth="1"/>
    <col min="4" max="4" width="15.875" style="3" customWidth="1"/>
    <col min="5" max="6" width="14.625" style="3" customWidth="1"/>
    <col min="7" max="16384" width="9.125" style="3"/>
  </cols>
  <sheetData>
    <row r="1" spans="1:6" ht="80.099999999999994" customHeight="1">
      <c r="A1" s="18" t="s">
        <v>26</v>
      </c>
      <c r="B1" s="18"/>
      <c r="C1" s="18"/>
      <c r="D1" s="18"/>
      <c r="E1" s="18"/>
      <c r="F1" s="18"/>
    </row>
    <row r="2" spans="1:6" s="4" customFormat="1" ht="33">
      <c r="A2" s="15" t="s">
        <v>50</v>
      </c>
      <c r="B2" s="15"/>
      <c r="C2" s="15"/>
      <c r="D2" s="15"/>
      <c r="E2" s="15"/>
      <c r="F2" s="15"/>
    </row>
    <row r="3" spans="1:6" s="5" customFormat="1" ht="65.25" customHeight="1">
      <c r="A3" s="11" t="s">
        <v>25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158</v>
      </c>
      <c r="F4" s="10">
        <v>158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116</v>
      </c>
      <c r="F5" s="10">
        <v>116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77</v>
      </c>
      <c r="F6" s="10">
        <v>77</v>
      </c>
    </row>
    <row r="7" spans="1:6" ht="13.5">
      <c r="A7" s="9" t="s">
        <v>7</v>
      </c>
      <c r="B7" s="10">
        <v>0</v>
      </c>
      <c r="C7" s="10">
        <v>0</v>
      </c>
      <c r="D7" s="10">
        <v>4</v>
      </c>
      <c r="E7" s="10">
        <v>0</v>
      </c>
      <c r="F7" s="10">
        <v>4</v>
      </c>
    </row>
    <row r="8" spans="1:6" ht="13.5">
      <c r="A8" s="9" t="s">
        <v>8</v>
      </c>
      <c r="B8" s="10">
        <v>0</v>
      </c>
      <c r="C8" s="10">
        <v>0</v>
      </c>
      <c r="D8" s="10">
        <v>68</v>
      </c>
      <c r="E8" s="10">
        <v>0</v>
      </c>
      <c r="F8" s="10">
        <v>68</v>
      </c>
    </row>
    <row r="9" spans="1:6" s="6" customFormat="1" ht="15">
      <c r="A9" s="9" t="s">
        <v>9</v>
      </c>
      <c r="B9" s="10">
        <v>0</v>
      </c>
      <c r="C9" s="10">
        <v>132</v>
      </c>
      <c r="D9" s="10">
        <v>0</v>
      </c>
      <c r="E9" s="10">
        <v>0</v>
      </c>
      <c r="F9" s="10">
        <v>132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20</v>
      </c>
      <c r="F10" s="10">
        <v>20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18</v>
      </c>
      <c r="F11" s="10">
        <v>18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227</v>
      </c>
      <c r="F12" s="10">
        <v>227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289</v>
      </c>
      <c r="F13" s="10">
        <v>289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6840</v>
      </c>
      <c r="F14" s="10">
        <v>6840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5168</v>
      </c>
      <c r="F15" s="10">
        <v>5168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110</v>
      </c>
      <c r="F16" s="10">
        <v>110</v>
      </c>
    </row>
    <row r="17" spans="1:6" ht="14.25" customHeight="1">
      <c r="A17" s="9" t="s">
        <v>17</v>
      </c>
      <c r="B17" s="10">
        <v>7236</v>
      </c>
      <c r="C17" s="10">
        <v>0</v>
      </c>
      <c r="D17" s="10">
        <v>0</v>
      </c>
      <c r="E17" s="10">
        <v>0</v>
      </c>
      <c r="F17" s="10">
        <v>7236</v>
      </c>
    </row>
    <row r="18" spans="1:6" s="6" customFormat="1" ht="15">
      <c r="A18" s="9" t="s">
        <v>20</v>
      </c>
      <c r="B18" s="10">
        <v>0</v>
      </c>
      <c r="C18" s="10">
        <v>0</v>
      </c>
      <c r="D18" s="10">
        <v>0</v>
      </c>
      <c r="E18" s="10">
        <v>360</v>
      </c>
      <c r="F18" s="10">
        <v>360</v>
      </c>
    </row>
    <row r="19" spans="1:6" ht="13.5">
      <c r="A19" s="9" t="s">
        <v>21</v>
      </c>
      <c r="B19" s="10">
        <v>0</v>
      </c>
      <c r="C19" s="10">
        <v>0</v>
      </c>
      <c r="D19" s="10">
        <v>0</v>
      </c>
      <c r="E19" s="10">
        <v>1256</v>
      </c>
      <c r="F19" s="10">
        <v>1256</v>
      </c>
    </row>
    <row r="20" spans="1:6" s="6" customFormat="1" ht="15">
      <c r="A20" s="9" t="s">
        <v>22</v>
      </c>
      <c r="B20" s="10">
        <v>177</v>
      </c>
      <c r="C20" s="10">
        <v>0</v>
      </c>
      <c r="D20" s="10">
        <v>0</v>
      </c>
      <c r="E20" s="10">
        <v>0</v>
      </c>
      <c r="F20" s="10">
        <v>177</v>
      </c>
    </row>
    <row r="21" spans="1:6" ht="13.5">
      <c r="A21" s="9" t="s">
        <v>24</v>
      </c>
      <c r="B21" s="10">
        <v>31</v>
      </c>
      <c r="C21" s="10">
        <v>0</v>
      </c>
      <c r="D21" s="10">
        <v>0</v>
      </c>
      <c r="E21" s="10">
        <v>0</v>
      </c>
      <c r="F21" s="10">
        <v>31</v>
      </c>
    </row>
    <row r="22" spans="1:6" ht="13.5">
      <c r="A22" s="13" t="s">
        <v>0</v>
      </c>
      <c r="B22" s="13">
        <v>7444</v>
      </c>
      <c r="C22" s="13">
        <v>132</v>
      </c>
      <c r="D22" s="13">
        <v>72</v>
      </c>
      <c r="E22" s="13">
        <v>14639</v>
      </c>
      <c r="F22" s="13">
        <v>22287</v>
      </c>
    </row>
    <row r="23" spans="1:6" s="2" customFormat="1" ht="15">
      <c r="B23" s="1"/>
      <c r="C23" s="1"/>
      <c r="E23" s="1"/>
      <c r="F23" s="1"/>
    </row>
    <row r="24" spans="1:6" s="2" customFormat="1"/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95A7F-1CDC-49FD-BC17-8E85EC42C2FB}">
  <sheetPr>
    <outlinePr applyStyles="1"/>
  </sheetPr>
  <dimension ref="A1:F37"/>
  <sheetViews>
    <sheetView view="pageBreakPreview" topLeftCell="A7" zoomScaleSheetLayoutView="100" workbookViewId="0">
      <selection activeCell="B32" sqref="B32"/>
    </sheetView>
  </sheetViews>
  <sheetFormatPr defaultColWidth="9.125" defaultRowHeight="12.75"/>
  <cols>
    <col min="1" max="1" width="28" style="3" bestFit="1" customWidth="1"/>
    <col min="2" max="2" width="14.625" style="3" customWidth="1"/>
    <col min="3" max="3" width="16.25" style="3" customWidth="1"/>
    <col min="4" max="4" width="15.875" style="3" customWidth="1"/>
    <col min="5" max="6" width="14.625" style="3" customWidth="1"/>
    <col min="7" max="16384" width="9.125" style="3"/>
  </cols>
  <sheetData>
    <row r="1" spans="1:6" ht="80.099999999999994" customHeight="1">
      <c r="A1" s="18" t="s">
        <v>26</v>
      </c>
      <c r="B1" s="18"/>
      <c r="C1" s="18"/>
      <c r="D1" s="18"/>
      <c r="E1" s="18"/>
      <c r="F1" s="18"/>
    </row>
    <row r="2" spans="1:6" s="4" customFormat="1" ht="33">
      <c r="A2" s="15" t="s">
        <v>50</v>
      </c>
      <c r="B2" s="15"/>
      <c r="C2" s="15"/>
      <c r="D2" s="15"/>
      <c r="E2" s="15"/>
      <c r="F2" s="15"/>
    </row>
    <row r="3" spans="1:6" s="5" customFormat="1" ht="65.25" customHeight="1">
      <c r="A3" s="11" t="s">
        <v>25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165</v>
      </c>
      <c r="F4" s="10">
        <v>165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118</v>
      </c>
      <c r="F5" s="10">
        <v>118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77</v>
      </c>
      <c r="F6" s="10">
        <v>77</v>
      </c>
    </row>
    <row r="7" spans="1:6" ht="13.5">
      <c r="A7" s="9" t="s">
        <v>7</v>
      </c>
      <c r="B7" s="10">
        <v>0</v>
      </c>
      <c r="C7" s="10">
        <v>0</v>
      </c>
      <c r="D7" s="10">
        <v>5</v>
      </c>
      <c r="E7" s="10">
        <v>0</v>
      </c>
      <c r="F7" s="10">
        <v>5</v>
      </c>
    </row>
    <row r="8" spans="1:6" ht="13.5">
      <c r="A8" s="9" t="s">
        <v>8</v>
      </c>
      <c r="B8" s="10">
        <v>0</v>
      </c>
      <c r="C8" s="10">
        <v>0</v>
      </c>
      <c r="D8" s="10">
        <v>68</v>
      </c>
      <c r="E8" s="10">
        <v>0</v>
      </c>
      <c r="F8" s="10">
        <v>68</v>
      </c>
    </row>
    <row r="9" spans="1:6" s="6" customFormat="1" ht="15">
      <c r="A9" s="9" t="s">
        <v>9</v>
      </c>
      <c r="B9" s="10">
        <v>0</v>
      </c>
      <c r="C9" s="10">
        <v>132</v>
      </c>
      <c r="D9" s="10">
        <v>0</v>
      </c>
      <c r="E9" s="10">
        <v>0</v>
      </c>
      <c r="F9" s="10">
        <v>132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20</v>
      </c>
      <c r="F10" s="10">
        <v>20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18</v>
      </c>
      <c r="F11" s="10">
        <v>18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225</v>
      </c>
      <c r="F12" s="10">
        <v>225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294</v>
      </c>
      <c r="F13" s="10">
        <v>294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6891</v>
      </c>
      <c r="F14" s="10">
        <v>6891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5210</v>
      </c>
      <c r="F15" s="10">
        <v>5210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109</v>
      </c>
      <c r="F16" s="10">
        <v>109</v>
      </c>
    </row>
    <row r="17" spans="1:6" ht="14.25" customHeight="1">
      <c r="A17" s="9" t="s">
        <v>17</v>
      </c>
      <c r="B17" s="10">
        <v>7209</v>
      </c>
      <c r="C17" s="10">
        <v>0</v>
      </c>
      <c r="D17" s="10">
        <v>0</v>
      </c>
      <c r="E17" s="10">
        <v>0</v>
      </c>
      <c r="F17" s="10">
        <v>7209</v>
      </c>
    </row>
    <row r="18" spans="1:6" s="6" customFormat="1" ht="15">
      <c r="A18" s="9" t="s">
        <v>20</v>
      </c>
      <c r="B18" s="10">
        <v>0</v>
      </c>
      <c r="C18" s="10">
        <v>0</v>
      </c>
      <c r="D18" s="10">
        <v>0</v>
      </c>
      <c r="E18" s="10">
        <v>364</v>
      </c>
      <c r="F18" s="10">
        <v>364</v>
      </c>
    </row>
    <row r="19" spans="1:6" ht="13.5">
      <c r="A19" s="9" t="s">
        <v>21</v>
      </c>
      <c r="B19" s="10">
        <v>0</v>
      </c>
      <c r="C19" s="10">
        <v>0</v>
      </c>
      <c r="D19" s="10">
        <v>0</v>
      </c>
      <c r="E19" s="10">
        <v>1259</v>
      </c>
      <c r="F19" s="10">
        <v>1259</v>
      </c>
    </row>
    <row r="20" spans="1:6" s="6" customFormat="1" ht="15">
      <c r="A20" s="9" t="s">
        <v>22</v>
      </c>
      <c r="B20" s="10">
        <v>180</v>
      </c>
      <c r="C20" s="10">
        <v>0</v>
      </c>
      <c r="D20" s="10">
        <v>0</v>
      </c>
      <c r="E20" s="10">
        <v>0</v>
      </c>
      <c r="F20" s="10">
        <v>180</v>
      </c>
    </row>
    <row r="21" spans="1:6" ht="13.5">
      <c r="A21" s="9" t="s">
        <v>24</v>
      </c>
      <c r="B21" s="10">
        <v>30</v>
      </c>
      <c r="C21" s="10">
        <v>0</v>
      </c>
      <c r="D21" s="10">
        <v>0</v>
      </c>
      <c r="E21" s="10">
        <v>0</v>
      </c>
      <c r="F21" s="10">
        <v>30</v>
      </c>
    </row>
    <row r="22" spans="1:6" ht="13.5">
      <c r="A22" s="13" t="s">
        <v>0</v>
      </c>
      <c r="B22" s="13">
        <v>7419</v>
      </c>
      <c r="C22" s="13">
        <v>132</v>
      </c>
      <c r="D22" s="13">
        <v>73</v>
      </c>
      <c r="E22" s="13">
        <v>14750</v>
      </c>
      <c r="F22" s="13">
        <v>22374</v>
      </c>
    </row>
    <row r="23" spans="1:6" s="2" customFormat="1" ht="15">
      <c r="B23" s="1"/>
      <c r="C23" s="1"/>
      <c r="E23" s="1"/>
      <c r="F23" s="1"/>
    </row>
    <row r="24" spans="1:6" s="2" customFormat="1"/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5D22B-C80E-45B1-AC1B-D008B7039D37}">
  <sheetPr>
    <outlinePr applyStyles="1"/>
  </sheetPr>
  <dimension ref="A1:F37"/>
  <sheetViews>
    <sheetView view="pageBreakPreview" topLeftCell="A19" zoomScaleSheetLayoutView="100" workbookViewId="0">
      <selection activeCell="C35" sqref="C35"/>
    </sheetView>
  </sheetViews>
  <sheetFormatPr defaultColWidth="9.125" defaultRowHeight="12.75"/>
  <cols>
    <col min="1" max="1" width="28" style="3" bestFit="1" customWidth="1"/>
    <col min="2" max="2" width="14.625" style="3" customWidth="1"/>
    <col min="3" max="3" width="16.25" style="3" customWidth="1"/>
    <col min="4" max="4" width="15.875" style="3" customWidth="1"/>
    <col min="5" max="6" width="14.625" style="3" customWidth="1"/>
    <col min="7" max="16384" width="9.125" style="3"/>
  </cols>
  <sheetData>
    <row r="1" spans="1:6" ht="80.099999999999994" customHeight="1">
      <c r="A1" s="18" t="s">
        <v>26</v>
      </c>
      <c r="B1" s="18"/>
      <c r="C1" s="18"/>
      <c r="D1" s="18"/>
      <c r="E1" s="18"/>
      <c r="F1" s="18"/>
    </row>
    <row r="2" spans="1:6" s="4" customFormat="1" ht="33">
      <c r="A2" s="15" t="s">
        <v>50</v>
      </c>
      <c r="B2" s="15"/>
      <c r="C2" s="15"/>
      <c r="D2" s="15"/>
      <c r="E2" s="15"/>
      <c r="F2" s="15"/>
    </row>
    <row r="3" spans="1:6" s="5" customFormat="1" ht="65.25" customHeight="1">
      <c r="A3" s="11" t="s">
        <v>25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172</v>
      </c>
      <c r="F4" s="10">
        <v>172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118</v>
      </c>
      <c r="F5" s="10">
        <v>118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77</v>
      </c>
      <c r="F6" s="10">
        <v>77</v>
      </c>
    </row>
    <row r="7" spans="1:6" ht="13.5">
      <c r="A7" s="9" t="s">
        <v>7</v>
      </c>
      <c r="B7" s="10">
        <v>0</v>
      </c>
      <c r="C7" s="10">
        <v>0</v>
      </c>
      <c r="D7" s="10">
        <v>5</v>
      </c>
      <c r="E7" s="10">
        <v>0</v>
      </c>
      <c r="F7" s="10">
        <v>5</v>
      </c>
    </row>
    <row r="8" spans="1:6" ht="13.5">
      <c r="A8" s="9" t="s">
        <v>8</v>
      </c>
      <c r="B8" s="10">
        <v>0</v>
      </c>
      <c r="C8" s="10">
        <v>0</v>
      </c>
      <c r="D8" s="10">
        <v>69</v>
      </c>
      <c r="E8" s="10">
        <v>0</v>
      </c>
      <c r="F8" s="10">
        <v>69</v>
      </c>
    </row>
    <row r="9" spans="1:6" s="6" customFormat="1" ht="15">
      <c r="A9" s="9" t="s">
        <v>9</v>
      </c>
      <c r="B9" s="10">
        <v>0</v>
      </c>
      <c r="C9" s="10">
        <v>131</v>
      </c>
      <c r="D9" s="10">
        <v>0</v>
      </c>
      <c r="E9" s="10">
        <v>0</v>
      </c>
      <c r="F9" s="10">
        <v>131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20</v>
      </c>
      <c r="F10" s="10">
        <v>20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18</v>
      </c>
      <c r="F11" s="10">
        <v>18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221</v>
      </c>
      <c r="F12" s="10">
        <v>221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294</v>
      </c>
      <c r="F13" s="10">
        <v>294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6960</v>
      </c>
      <c r="F14" s="10">
        <v>6960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5226</v>
      </c>
      <c r="F15" s="10">
        <v>5226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108</v>
      </c>
      <c r="F16" s="10">
        <v>108</v>
      </c>
    </row>
    <row r="17" spans="1:6" ht="14.25" customHeight="1">
      <c r="A17" s="9" t="s">
        <v>17</v>
      </c>
      <c r="B17" s="10">
        <v>7208</v>
      </c>
      <c r="C17" s="10">
        <v>0</v>
      </c>
      <c r="D17" s="10">
        <v>0</v>
      </c>
      <c r="E17" s="10">
        <v>0</v>
      </c>
      <c r="F17" s="10">
        <v>7208</v>
      </c>
    </row>
    <row r="18" spans="1:6" s="6" customFormat="1" ht="15">
      <c r="A18" s="9" t="s">
        <v>20</v>
      </c>
      <c r="B18" s="10">
        <v>0</v>
      </c>
      <c r="C18" s="10">
        <v>0</v>
      </c>
      <c r="D18" s="10">
        <v>0</v>
      </c>
      <c r="E18" s="10">
        <v>366</v>
      </c>
      <c r="F18" s="10">
        <v>366</v>
      </c>
    </row>
    <row r="19" spans="1:6" ht="13.5">
      <c r="A19" s="9" t="s">
        <v>21</v>
      </c>
      <c r="B19" s="10">
        <v>0</v>
      </c>
      <c r="C19" s="10">
        <v>0</v>
      </c>
      <c r="D19" s="10">
        <v>0</v>
      </c>
      <c r="E19" s="10">
        <v>1257</v>
      </c>
      <c r="F19" s="10">
        <v>1257</v>
      </c>
    </row>
    <row r="20" spans="1:6" s="6" customFormat="1" ht="15">
      <c r="A20" s="9" t="s">
        <v>22</v>
      </c>
      <c r="B20" s="10">
        <v>181</v>
      </c>
      <c r="C20" s="10">
        <v>0</v>
      </c>
      <c r="D20" s="10">
        <v>0</v>
      </c>
      <c r="E20" s="10">
        <v>0</v>
      </c>
      <c r="F20" s="10">
        <v>181</v>
      </c>
    </row>
    <row r="21" spans="1:6" ht="13.5">
      <c r="A21" s="9" t="s">
        <v>24</v>
      </c>
      <c r="B21" s="10">
        <v>30</v>
      </c>
      <c r="C21" s="10">
        <v>0</v>
      </c>
      <c r="D21" s="10">
        <v>0</v>
      </c>
      <c r="E21" s="10">
        <v>0</v>
      </c>
      <c r="F21" s="10">
        <v>30</v>
      </c>
    </row>
    <row r="22" spans="1:6" ht="13.5">
      <c r="A22" s="13" t="s">
        <v>0</v>
      </c>
      <c r="B22" s="13">
        <v>7419</v>
      </c>
      <c r="C22" s="13">
        <v>131</v>
      </c>
      <c r="D22" s="13">
        <v>74</v>
      </c>
      <c r="E22" s="13">
        <v>14837</v>
      </c>
      <c r="F22" s="13">
        <v>22461</v>
      </c>
    </row>
    <row r="23" spans="1:6" s="2" customFormat="1" ht="15">
      <c r="B23" s="1"/>
      <c r="C23" s="1"/>
      <c r="E23" s="1"/>
      <c r="F23" s="1"/>
    </row>
    <row r="24" spans="1:6" s="2" customFormat="1"/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4" max="6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9F145-FEB5-4D56-94DC-4DBD3F053AD9}">
  <sheetPr>
    <outlinePr applyStyles="1"/>
  </sheetPr>
  <dimension ref="A1:F37"/>
  <sheetViews>
    <sheetView tabSelected="1" view="pageBreakPreview" topLeftCell="A16" zoomScaleSheetLayoutView="100" workbookViewId="0">
      <selection activeCell="L39" sqref="L39"/>
    </sheetView>
  </sheetViews>
  <sheetFormatPr defaultColWidth="9.125" defaultRowHeight="12.75"/>
  <cols>
    <col min="1" max="1" width="28" style="3" bestFit="1" customWidth="1"/>
    <col min="2" max="2" width="14.625" style="3" customWidth="1"/>
    <col min="3" max="3" width="16.25" style="3" customWidth="1"/>
    <col min="4" max="4" width="15.875" style="3" customWidth="1"/>
    <col min="5" max="6" width="14.625" style="3" customWidth="1"/>
    <col min="7" max="16384" width="9.125" style="3"/>
  </cols>
  <sheetData>
    <row r="1" spans="1:6" ht="80.099999999999994" customHeight="1">
      <c r="A1" s="18" t="s">
        <v>26</v>
      </c>
      <c r="B1" s="18"/>
      <c r="C1" s="18"/>
      <c r="D1" s="18"/>
      <c r="E1" s="18"/>
      <c r="F1" s="18"/>
    </row>
    <row r="2" spans="1:6" s="4" customFormat="1" ht="33">
      <c r="A2" s="15" t="s">
        <v>50</v>
      </c>
      <c r="B2" s="15"/>
      <c r="C2" s="15"/>
      <c r="D2" s="15"/>
      <c r="E2" s="15"/>
      <c r="F2" s="15"/>
    </row>
    <row r="3" spans="1:6" s="5" customFormat="1" ht="65.25" customHeight="1">
      <c r="A3" s="11" t="s">
        <v>25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178</v>
      </c>
      <c r="F4" s="10">
        <v>178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121</v>
      </c>
      <c r="F5" s="10">
        <v>121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77</v>
      </c>
      <c r="F6" s="10">
        <v>77</v>
      </c>
    </row>
    <row r="7" spans="1:6" ht="13.5">
      <c r="A7" s="9" t="s">
        <v>7</v>
      </c>
      <c r="B7" s="10">
        <v>0</v>
      </c>
      <c r="C7" s="10">
        <v>0</v>
      </c>
      <c r="D7" s="10">
        <v>5</v>
      </c>
      <c r="E7" s="10">
        <v>0</v>
      </c>
      <c r="F7" s="10">
        <v>5</v>
      </c>
    </row>
    <row r="8" spans="1:6" ht="13.5">
      <c r="A8" s="9" t="s">
        <v>8</v>
      </c>
      <c r="B8" s="10">
        <v>0</v>
      </c>
      <c r="C8" s="10">
        <v>0</v>
      </c>
      <c r="D8" s="10">
        <v>70</v>
      </c>
      <c r="E8" s="10">
        <v>0</v>
      </c>
      <c r="F8" s="10">
        <v>70</v>
      </c>
    </row>
    <row r="9" spans="1:6" s="6" customFormat="1" ht="15">
      <c r="A9" s="9" t="s">
        <v>9</v>
      </c>
      <c r="B9" s="10">
        <v>0</v>
      </c>
      <c r="C9" s="10">
        <v>136</v>
      </c>
      <c r="D9" s="10">
        <v>0</v>
      </c>
      <c r="E9" s="10">
        <v>0</v>
      </c>
      <c r="F9" s="10">
        <v>136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20</v>
      </c>
      <c r="F10" s="10">
        <v>20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18</v>
      </c>
      <c r="F11" s="10">
        <v>18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212</v>
      </c>
      <c r="F12" s="10">
        <v>212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298</v>
      </c>
      <c r="F13" s="10">
        <v>298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7009</v>
      </c>
      <c r="F14" s="10">
        <v>7009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5270</v>
      </c>
      <c r="F15" s="10">
        <v>5270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107</v>
      </c>
      <c r="F16" s="10">
        <v>107</v>
      </c>
    </row>
    <row r="17" spans="1:6" ht="14.25" customHeight="1">
      <c r="A17" s="9" t="s">
        <v>17</v>
      </c>
      <c r="B17" s="10">
        <v>7191</v>
      </c>
      <c r="C17" s="10">
        <v>0</v>
      </c>
      <c r="D17" s="10">
        <v>0</v>
      </c>
      <c r="E17" s="10">
        <v>0</v>
      </c>
      <c r="F17" s="10">
        <v>7191</v>
      </c>
    </row>
    <row r="18" spans="1:6" s="6" customFormat="1" ht="15">
      <c r="A18" s="9" t="s">
        <v>20</v>
      </c>
      <c r="B18" s="10">
        <v>0</v>
      </c>
      <c r="C18" s="10">
        <v>0</v>
      </c>
      <c r="D18" s="10">
        <v>0</v>
      </c>
      <c r="E18" s="10">
        <v>361</v>
      </c>
      <c r="F18" s="10">
        <v>361</v>
      </c>
    </row>
    <row r="19" spans="1:6" ht="13.5">
      <c r="A19" s="9" t="s">
        <v>21</v>
      </c>
      <c r="B19" s="10">
        <v>0</v>
      </c>
      <c r="C19" s="10">
        <v>0</v>
      </c>
      <c r="D19" s="10">
        <v>0</v>
      </c>
      <c r="E19" s="10">
        <v>1254</v>
      </c>
      <c r="F19" s="10">
        <v>1254</v>
      </c>
    </row>
    <row r="20" spans="1:6" s="6" customFormat="1" ht="15">
      <c r="A20" s="9" t="s">
        <v>22</v>
      </c>
      <c r="B20" s="10">
        <v>182</v>
      </c>
      <c r="C20" s="10">
        <v>0</v>
      </c>
      <c r="D20" s="10">
        <v>0</v>
      </c>
      <c r="E20" s="10">
        <v>0</v>
      </c>
      <c r="F20" s="10">
        <v>182</v>
      </c>
    </row>
    <row r="21" spans="1:6" ht="13.5">
      <c r="A21" s="9" t="s">
        <v>24</v>
      </c>
      <c r="B21" s="10">
        <v>30</v>
      </c>
      <c r="C21" s="10">
        <v>0</v>
      </c>
      <c r="D21" s="10">
        <v>0</v>
      </c>
      <c r="E21" s="10">
        <v>0</v>
      </c>
      <c r="F21" s="10">
        <v>30</v>
      </c>
    </row>
    <row r="22" spans="1:6" ht="13.5">
      <c r="A22" s="13" t="s">
        <v>0</v>
      </c>
      <c r="B22" s="13">
        <v>7403</v>
      </c>
      <c r="C22" s="13">
        <v>136</v>
      </c>
      <c r="D22" s="13">
        <v>75</v>
      </c>
      <c r="E22" s="13">
        <v>14925</v>
      </c>
      <c r="F22" s="13">
        <v>22539</v>
      </c>
    </row>
    <row r="23" spans="1:6" s="2" customFormat="1" ht="15">
      <c r="B23" s="1"/>
      <c r="C23" s="1"/>
      <c r="E23" s="1"/>
      <c r="F23" s="1"/>
    </row>
    <row r="24" spans="1:6" s="2" customFormat="1"/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4" max="6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applyStyles="1"/>
  </sheetPr>
  <dimension ref="A1:F38"/>
  <sheetViews>
    <sheetView view="pageBreakPreview" topLeftCell="A2" zoomScaleSheetLayoutView="100" workbookViewId="0">
      <selection activeCell="A4" sqref="A4:F21"/>
    </sheetView>
  </sheetViews>
  <sheetFormatPr defaultColWidth="9.125" defaultRowHeight="12.75"/>
  <cols>
    <col min="1" max="1" width="28" style="3" bestFit="1" customWidth="1"/>
    <col min="2" max="2" width="14.625" style="3" customWidth="1"/>
    <col min="3" max="3" width="16.25" style="3" customWidth="1"/>
    <col min="4" max="4" width="15.875" style="3" customWidth="1"/>
    <col min="5" max="6" width="14.625" style="3" customWidth="1"/>
    <col min="7" max="16384" width="9.125" style="3"/>
  </cols>
  <sheetData>
    <row r="1" spans="1:6" ht="80.099999999999994" customHeight="1">
      <c r="A1" s="18" t="s">
        <v>26</v>
      </c>
      <c r="B1" s="18"/>
      <c r="C1" s="18"/>
      <c r="D1" s="18"/>
      <c r="E1" s="18"/>
      <c r="F1" s="18"/>
    </row>
    <row r="2" spans="1:6" s="4" customFormat="1" ht="16.5">
      <c r="A2" s="15" t="s">
        <v>18</v>
      </c>
      <c r="B2" s="15"/>
      <c r="C2" s="15"/>
      <c r="D2" s="15"/>
      <c r="E2" s="15"/>
      <c r="F2" s="15"/>
    </row>
    <row r="3" spans="1:6" s="5" customFormat="1" ht="65.25" customHeight="1">
      <c r="A3" s="11" t="s">
        <v>25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99</v>
      </c>
      <c r="F4" s="10">
        <v>99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87</v>
      </c>
      <c r="F5" s="10">
        <v>87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70</v>
      </c>
      <c r="F6" s="10">
        <v>70</v>
      </c>
    </row>
    <row r="7" spans="1:6" ht="13.5">
      <c r="A7" s="9" t="s">
        <v>7</v>
      </c>
      <c r="B7" s="10">
        <v>0</v>
      </c>
      <c r="C7" s="10">
        <v>0</v>
      </c>
      <c r="D7" s="10">
        <v>4</v>
      </c>
      <c r="E7" s="10">
        <v>0</v>
      </c>
      <c r="F7" s="10">
        <v>4</v>
      </c>
    </row>
    <row r="8" spans="1:6" ht="13.5">
      <c r="A8" s="9" t="s">
        <v>8</v>
      </c>
      <c r="B8" s="10">
        <v>0</v>
      </c>
      <c r="C8" s="10">
        <v>0</v>
      </c>
      <c r="D8" s="10">
        <v>70</v>
      </c>
      <c r="E8" s="10">
        <v>0</v>
      </c>
      <c r="F8" s="10">
        <v>70</v>
      </c>
    </row>
    <row r="9" spans="1:6" s="6" customFormat="1" ht="15">
      <c r="A9" s="9" t="s">
        <v>9</v>
      </c>
      <c r="B9" s="10">
        <v>0</v>
      </c>
      <c r="C9" s="10">
        <v>118</v>
      </c>
      <c r="D9" s="10">
        <v>0</v>
      </c>
      <c r="E9" s="10">
        <v>0</v>
      </c>
      <c r="F9" s="10">
        <v>118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41</v>
      </c>
      <c r="F10" s="10">
        <v>41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85</v>
      </c>
      <c r="F11" s="10">
        <v>85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412</v>
      </c>
      <c r="F12" s="10">
        <v>412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237</v>
      </c>
      <c r="F13" s="10">
        <v>237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5549</v>
      </c>
      <c r="F14" s="10">
        <v>5549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4764</v>
      </c>
      <c r="F15" s="10">
        <v>4764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135</v>
      </c>
      <c r="F16" s="10">
        <v>135</v>
      </c>
    </row>
    <row r="17" spans="1:6" ht="14.25" customHeight="1">
      <c r="A17" s="9" t="s">
        <v>17</v>
      </c>
      <c r="B17" s="10">
        <v>7482</v>
      </c>
      <c r="C17" s="10">
        <v>0</v>
      </c>
      <c r="D17" s="10">
        <v>0</v>
      </c>
      <c r="E17" s="10">
        <v>0</v>
      </c>
      <c r="F17" s="10">
        <v>7482</v>
      </c>
    </row>
    <row r="18" spans="1:6" s="6" customFormat="1" ht="15">
      <c r="A18" s="9" t="s">
        <v>20</v>
      </c>
      <c r="B18" s="10">
        <v>0</v>
      </c>
      <c r="C18" s="10">
        <v>0</v>
      </c>
      <c r="D18" s="10">
        <v>0</v>
      </c>
      <c r="E18" s="10">
        <v>393</v>
      </c>
      <c r="F18" s="10">
        <v>393</v>
      </c>
    </row>
    <row r="19" spans="1:6" ht="13.5">
      <c r="A19" s="9" t="s">
        <v>21</v>
      </c>
      <c r="B19" s="10">
        <v>0</v>
      </c>
      <c r="C19" s="10">
        <v>0</v>
      </c>
      <c r="D19" s="10">
        <v>0</v>
      </c>
      <c r="E19" s="10">
        <v>1266</v>
      </c>
      <c r="F19" s="10">
        <v>1266</v>
      </c>
    </row>
    <row r="20" spans="1:6" s="6" customFormat="1" ht="15">
      <c r="A20" s="9" t="s">
        <v>22</v>
      </c>
      <c r="B20" s="10">
        <v>171</v>
      </c>
      <c r="C20" s="10">
        <v>0</v>
      </c>
      <c r="D20" s="10">
        <v>0</v>
      </c>
      <c r="E20" s="10">
        <v>0</v>
      </c>
      <c r="F20" s="10">
        <v>171</v>
      </c>
    </row>
    <row r="21" spans="1:6" ht="13.5">
      <c r="A21" s="9" t="s">
        <v>23</v>
      </c>
      <c r="B21" s="10">
        <v>1</v>
      </c>
      <c r="C21" s="10">
        <v>0</v>
      </c>
      <c r="D21" s="10">
        <v>0</v>
      </c>
      <c r="E21" s="10">
        <v>0</v>
      </c>
      <c r="F21" s="10">
        <v>1</v>
      </c>
    </row>
    <row r="22" spans="1:6" ht="13.5">
      <c r="A22" s="9" t="s">
        <v>24</v>
      </c>
      <c r="B22" s="10">
        <v>32</v>
      </c>
      <c r="C22" s="10">
        <v>0</v>
      </c>
      <c r="D22" s="10">
        <v>0</v>
      </c>
      <c r="E22" s="10">
        <v>0</v>
      </c>
      <c r="F22" s="10">
        <v>32</v>
      </c>
    </row>
    <row r="23" spans="1:6" ht="13.5">
      <c r="A23" s="13" t="s">
        <v>0</v>
      </c>
      <c r="B23" s="13">
        <f>SUM(B4:B22)</f>
        <v>7686</v>
      </c>
      <c r="C23" s="13">
        <f t="shared" ref="C23:F23" si="0">SUM(C4:C22)</f>
        <v>118</v>
      </c>
      <c r="D23" s="13">
        <f t="shared" si="0"/>
        <v>74</v>
      </c>
      <c r="E23" s="13">
        <f t="shared" si="0"/>
        <v>13138</v>
      </c>
      <c r="F23" s="13">
        <f t="shared" si="0"/>
        <v>21016</v>
      </c>
    </row>
    <row r="24" spans="1:6" s="2" customFormat="1" ht="15">
      <c r="B24" s="1"/>
      <c r="C24" s="1"/>
      <c r="E24" s="1"/>
      <c r="F24" s="1"/>
    </row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5" max="6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applyStyles="1"/>
  </sheetPr>
  <dimension ref="A1:F37"/>
  <sheetViews>
    <sheetView view="pageBreakPreview" topLeftCell="A2" zoomScaleSheetLayoutView="100" workbookViewId="0">
      <selection activeCell="A4" sqref="A4:F21"/>
    </sheetView>
  </sheetViews>
  <sheetFormatPr defaultColWidth="9.125" defaultRowHeight="12.75"/>
  <cols>
    <col min="1" max="1" width="28" style="3" bestFit="1" customWidth="1"/>
    <col min="2" max="2" width="14.625" style="3" customWidth="1"/>
    <col min="3" max="3" width="16.25" style="3" customWidth="1"/>
    <col min="4" max="4" width="15.875" style="3" customWidth="1"/>
    <col min="5" max="6" width="14.625" style="3" customWidth="1"/>
    <col min="7" max="16384" width="9.125" style="3"/>
  </cols>
  <sheetData>
    <row r="1" spans="1:6" ht="80.099999999999994" customHeight="1">
      <c r="A1" s="18" t="s">
        <v>26</v>
      </c>
      <c r="B1" s="18"/>
      <c r="C1" s="18"/>
      <c r="D1" s="18"/>
      <c r="E1" s="18"/>
      <c r="F1" s="18"/>
    </row>
    <row r="2" spans="1:6" s="4" customFormat="1" ht="16.5">
      <c r="A2" s="15" t="s">
        <v>18</v>
      </c>
      <c r="B2" s="15"/>
      <c r="C2" s="15"/>
      <c r="D2" s="15"/>
      <c r="E2" s="15"/>
      <c r="F2" s="15"/>
    </row>
    <row r="3" spans="1:6" s="5" customFormat="1" ht="65.25" customHeight="1">
      <c r="A3" s="11" t="s">
        <v>25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100</v>
      </c>
      <c r="F4" s="10">
        <v>100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89</v>
      </c>
      <c r="F5" s="10">
        <v>89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68</v>
      </c>
      <c r="F6" s="10">
        <v>68</v>
      </c>
    </row>
    <row r="7" spans="1:6" ht="13.5">
      <c r="A7" s="9" t="s">
        <v>7</v>
      </c>
      <c r="B7" s="10">
        <v>0</v>
      </c>
      <c r="C7" s="10">
        <v>0</v>
      </c>
      <c r="D7" s="10">
        <v>4</v>
      </c>
      <c r="E7" s="10">
        <v>0</v>
      </c>
      <c r="F7" s="10">
        <v>4</v>
      </c>
    </row>
    <row r="8" spans="1:6" ht="13.5">
      <c r="A8" s="9" t="s">
        <v>8</v>
      </c>
      <c r="B8" s="10">
        <v>0</v>
      </c>
      <c r="C8" s="10">
        <v>0</v>
      </c>
      <c r="D8" s="10">
        <v>68</v>
      </c>
      <c r="E8" s="10">
        <v>0</v>
      </c>
      <c r="F8" s="10">
        <v>68</v>
      </c>
    </row>
    <row r="9" spans="1:6" s="6" customFormat="1" ht="15">
      <c r="A9" s="9" t="s">
        <v>9</v>
      </c>
      <c r="B9" s="10">
        <v>0</v>
      </c>
      <c r="C9" s="10">
        <v>119</v>
      </c>
      <c r="D9" s="10">
        <v>0</v>
      </c>
      <c r="E9" s="10">
        <v>0</v>
      </c>
      <c r="F9" s="10">
        <v>119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38</v>
      </c>
      <c r="F10" s="10">
        <v>38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83</v>
      </c>
      <c r="F11" s="10">
        <v>83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402</v>
      </c>
      <c r="F12" s="10">
        <v>402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240</v>
      </c>
      <c r="F13" s="10">
        <v>240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5581</v>
      </c>
      <c r="F14" s="10">
        <v>5581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4756</v>
      </c>
      <c r="F15" s="10">
        <v>4756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135</v>
      </c>
      <c r="F16" s="10">
        <v>135</v>
      </c>
    </row>
    <row r="17" spans="1:6" ht="14.25" customHeight="1">
      <c r="A17" s="9" t="s">
        <v>17</v>
      </c>
      <c r="B17" s="10">
        <v>7475</v>
      </c>
      <c r="C17" s="10">
        <v>0</v>
      </c>
      <c r="D17" s="10">
        <v>0</v>
      </c>
      <c r="E17" s="10">
        <v>0</v>
      </c>
      <c r="F17" s="10">
        <v>7475</v>
      </c>
    </row>
    <row r="18" spans="1:6" s="6" customFormat="1" ht="15">
      <c r="A18" s="9" t="s">
        <v>20</v>
      </c>
      <c r="B18" s="10">
        <v>0</v>
      </c>
      <c r="C18" s="10">
        <v>0</v>
      </c>
      <c r="D18" s="10">
        <v>0</v>
      </c>
      <c r="E18" s="10">
        <v>389</v>
      </c>
      <c r="F18" s="10">
        <v>389</v>
      </c>
    </row>
    <row r="19" spans="1:6" ht="13.5">
      <c r="A19" s="9" t="s">
        <v>21</v>
      </c>
      <c r="B19" s="10">
        <v>0</v>
      </c>
      <c r="C19" s="10">
        <v>0</v>
      </c>
      <c r="D19" s="10">
        <v>0</v>
      </c>
      <c r="E19" s="10">
        <v>1270</v>
      </c>
      <c r="F19" s="10">
        <v>1270</v>
      </c>
    </row>
    <row r="20" spans="1:6" s="6" customFormat="1" ht="15">
      <c r="A20" s="9" t="s">
        <v>22</v>
      </c>
      <c r="B20" s="10">
        <v>173</v>
      </c>
      <c r="C20" s="10">
        <v>0</v>
      </c>
      <c r="D20" s="10">
        <v>0</v>
      </c>
      <c r="E20" s="10">
        <v>0</v>
      </c>
      <c r="F20" s="10">
        <v>173</v>
      </c>
    </row>
    <row r="21" spans="1:6" ht="13.5">
      <c r="A21" s="9" t="s">
        <v>24</v>
      </c>
      <c r="B21" s="10">
        <v>32</v>
      </c>
      <c r="C21" s="10">
        <v>0</v>
      </c>
      <c r="D21" s="10">
        <v>0</v>
      </c>
      <c r="E21" s="10">
        <v>0</v>
      </c>
      <c r="F21" s="10">
        <v>32</v>
      </c>
    </row>
    <row r="22" spans="1:6" ht="13.5">
      <c r="A22" s="13" t="s">
        <v>0</v>
      </c>
      <c r="B22" s="13">
        <f>SUM(B4:B21)</f>
        <v>7680</v>
      </c>
      <c r="C22" s="13">
        <f>SUM(C4:C21)</f>
        <v>119</v>
      </c>
      <c r="D22" s="13">
        <f>SUM(D4:D21)</f>
        <v>72</v>
      </c>
      <c r="E22" s="13">
        <f>SUM(E4:E21)</f>
        <v>13151</v>
      </c>
      <c r="F22" s="13">
        <f>SUM(F4:F21)</f>
        <v>21022</v>
      </c>
    </row>
    <row r="23" spans="1:6" s="2" customFormat="1" ht="15">
      <c r="B23" s="1"/>
      <c r="C23" s="1"/>
      <c r="E23" s="1"/>
      <c r="F23" s="1"/>
    </row>
    <row r="24" spans="1:6" s="2" customFormat="1"/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4" max="6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applyStyles="1"/>
  </sheetPr>
  <dimension ref="A1:F37"/>
  <sheetViews>
    <sheetView view="pageBreakPreview" topLeftCell="A2" zoomScaleSheetLayoutView="100" workbookViewId="0">
      <selection activeCell="A4" sqref="A4:F21"/>
    </sheetView>
  </sheetViews>
  <sheetFormatPr defaultColWidth="9.125" defaultRowHeight="12.75"/>
  <cols>
    <col min="1" max="1" width="28" style="3" bestFit="1" customWidth="1"/>
    <col min="2" max="2" width="14.625" style="3" customWidth="1"/>
    <col min="3" max="3" width="16.25" style="3" customWidth="1"/>
    <col min="4" max="4" width="15.875" style="3" customWidth="1"/>
    <col min="5" max="6" width="14.625" style="3" customWidth="1"/>
    <col min="7" max="16384" width="9.125" style="3"/>
  </cols>
  <sheetData>
    <row r="1" spans="1:6" ht="80.099999999999994" customHeight="1">
      <c r="A1" s="18" t="s">
        <v>26</v>
      </c>
      <c r="B1" s="18"/>
      <c r="C1" s="18"/>
      <c r="D1" s="18"/>
      <c r="E1" s="18"/>
      <c r="F1" s="18"/>
    </row>
    <row r="2" spans="1:6" s="4" customFormat="1" ht="16.5">
      <c r="A2" s="15" t="s">
        <v>18</v>
      </c>
      <c r="B2" s="15"/>
      <c r="C2" s="15"/>
      <c r="D2" s="15"/>
      <c r="E2" s="15"/>
      <c r="F2" s="15"/>
    </row>
    <row r="3" spans="1:6" s="5" customFormat="1" ht="65.25" customHeight="1">
      <c r="A3" s="11" t="s">
        <v>25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105</v>
      </c>
      <c r="F4" s="10">
        <v>105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90</v>
      </c>
      <c r="F5" s="10">
        <v>90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69</v>
      </c>
      <c r="F6" s="10">
        <v>69</v>
      </c>
    </row>
    <row r="7" spans="1:6" ht="13.5">
      <c r="A7" s="9" t="s">
        <v>7</v>
      </c>
      <c r="B7" s="10">
        <v>0</v>
      </c>
      <c r="C7" s="10">
        <v>0</v>
      </c>
      <c r="D7" s="10">
        <v>4</v>
      </c>
      <c r="E7" s="10">
        <v>0</v>
      </c>
      <c r="F7" s="10">
        <v>4</v>
      </c>
    </row>
    <row r="8" spans="1:6" ht="13.5">
      <c r="A8" s="9" t="s">
        <v>8</v>
      </c>
      <c r="B8" s="10">
        <v>0</v>
      </c>
      <c r="C8" s="10">
        <v>0</v>
      </c>
      <c r="D8" s="10">
        <v>70</v>
      </c>
      <c r="E8" s="10">
        <v>0</v>
      </c>
      <c r="F8" s="10">
        <v>70</v>
      </c>
    </row>
    <row r="9" spans="1:6" s="6" customFormat="1" ht="15">
      <c r="A9" s="9" t="s">
        <v>9</v>
      </c>
      <c r="B9" s="10">
        <v>0</v>
      </c>
      <c r="C9" s="10">
        <v>120</v>
      </c>
      <c r="D9" s="10">
        <v>0</v>
      </c>
      <c r="E9" s="10">
        <v>0</v>
      </c>
      <c r="F9" s="10">
        <v>120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36</v>
      </c>
      <c r="F10" s="10">
        <v>36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82</v>
      </c>
      <c r="F11" s="10">
        <v>82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398</v>
      </c>
      <c r="F12" s="10">
        <v>398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239</v>
      </c>
      <c r="F13" s="10">
        <v>239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5654</v>
      </c>
      <c r="F14" s="10">
        <v>5654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4756</v>
      </c>
      <c r="F15" s="10">
        <v>4756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134</v>
      </c>
      <c r="F16" s="10">
        <v>134</v>
      </c>
    </row>
    <row r="17" spans="1:6" ht="14.25" customHeight="1">
      <c r="A17" s="9" t="s">
        <v>17</v>
      </c>
      <c r="B17" s="10">
        <v>7469</v>
      </c>
      <c r="C17" s="10">
        <v>0</v>
      </c>
      <c r="D17" s="10">
        <v>0</v>
      </c>
      <c r="E17" s="10">
        <v>0</v>
      </c>
      <c r="F17" s="10">
        <v>7469</v>
      </c>
    </row>
    <row r="18" spans="1:6" s="6" customFormat="1" ht="15">
      <c r="A18" s="9" t="s">
        <v>20</v>
      </c>
      <c r="B18" s="10">
        <v>0</v>
      </c>
      <c r="C18" s="10">
        <v>0</v>
      </c>
      <c r="D18" s="10">
        <v>0</v>
      </c>
      <c r="E18" s="10">
        <v>388</v>
      </c>
      <c r="F18" s="10">
        <v>388</v>
      </c>
    </row>
    <row r="19" spans="1:6" ht="13.5">
      <c r="A19" s="9" t="s">
        <v>21</v>
      </c>
      <c r="B19" s="10">
        <v>0</v>
      </c>
      <c r="C19" s="10">
        <v>0</v>
      </c>
      <c r="D19" s="10">
        <v>0</v>
      </c>
      <c r="E19" s="10">
        <v>1262</v>
      </c>
      <c r="F19" s="10">
        <v>1262</v>
      </c>
    </row>
    <row r="20" spans="1:6" s="6" customFormat="1" ht="15">
      <c r="A20" s="9" t="s">
        <v>22</v>
      </c>
      <c r="B20" s="10">
        <v>172</v>
      </c>
      <c r="C20" s="10">
        <v>0</v>
      </c>
      <c r="D20" s="10">
        <v>0</v>
      </c>
      <c r="E20" s="10">
        <v>0</v>
      </c>
      <c r="F20" s="10">
        <v>172</v>
      </c>
    </row>
    <row r="21" spans="1:6" ht="13.5">
      <c r="A21" s="9" t="s">
        <v>24</v>
      </c>
      <c r="B21" s="10">
        <v>33</v>
      </c>
      <c r="C21" s="10">
        <v>0</v>
      </c>
      <c r="D21" s="10">
        <v>0</v>
      </c>
      <c r="E21" s="10">
        <v>0</v>
      </c>
      <c r="F21" s="10">
        <v>33</v>
      </c>
    </row>
    <row r="22" spans="1:6" ht="13.5">
      <c r="A22" s="13" t="s">
        <v>0</v>
      </c>
      <c r="B22" s="13">
        <f>SUM(B4:B21)</f>
        <v>7674</v>
      </c>
      <c r="C22" s="13">
        <f>SUM(C4:C21)</f>
        <v>120</v>
      </c>
      <c r="D22" s="13">
        <f>SUM(D4:D21)</f>
        <v>74</v>
      </c>
      <c r="E22" s="13">
        <f>SUM(E4:E21)</f>
        <v>13213</v>
      </c>
      <c r="F22" s="13">
        <f>SUM(F4:F21)</f>
        <v>21081</v>
      </c>
    </row>
    <row r="23" spans="1:6" s="2" customFormat="1" ht="15">
      <c r="B23" s="1"/>
      <c r="C23" s="1"/>
      <c r="E23" s="1"/>
      <c r="F23" s="1"/>
    </row>
    <row r="24" spans="1:6" s="2" customFormat="1"/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4" max="6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applyStyles="1"/>
  </sheetPr>
  <dimension ref="A1:F37"/>
  <sheetViews>
    <sheetView view="pageBreakPreview" topLeftCell="A2" zoomScaleSheetLayoutView="100" workbookViewId="0">
      <selection activeCell="A4" sqref="A4:F21"/>
    </sheetView>
  </sheetViews>
  <sheetFormatPr defaultColWidth="9.125" defaultRowHeight="12.75"/>
  <cols>
    <col min="1" max="1" width="28" style="3" bestFit="1" customWidth="1"/>
    <col min="2" max="2" width="14.625" style="3" customWidth="1"/>
    <col min="3" max="3" width="16.25" style="3" customWidth="1"/>
    <col min="4" max="4" width="15.875" style="3" customWidth="1"/>
    <col min="5" max="6" width="14.625" style="3" customWidth="1"/>
    <col min="7" max="16384" width="9.125" style="3"/>
  </cols>
  <sheetData>
    <row r="1" spans="1:6" ht="80.099999999999994" customHeight="1">
      <c r="A1" s="18" t="s">
        <v>26</v>
      </c>
      <c r="B1" s="18"/>
      <c r="C1" s="18"/>
      <c r="D1" s="18"/>
      <c r="E1" s="18"/>
      <c r="F1" s="18"/>
    </row>
    <row r="2" spans="1:6" s="4" customFormat="1" ht="16.5">
      <c r="A2" s="15" t="s">
        <v>18</v>
      </c>
      <c r="B2" s="15"/>
      <c r="C2" s="15"/>
      <c r="D2" s="15"/>
      <c r="E2" s="15"/>
      <c r="F2" s="15"/>
    </row>
    <row r="3" spans="1:6" s="5" customFormat="1" ht="65.25" customHeight="1">
      <c r="A3" s="11" t="s">
        <v>25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108</v>
      </c>
      <c r="F4" s="10">
        <v>108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89</v>
      </c>
      <c r="F5" s="10">
        <v>89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70</v>
      </c>
      <c r="F6" s="10">
        <v>70</v>
      </c>
    </row>
    <row r="7" spans="1:6" ht="13.5">
      <c r="A7" s="9" t="s">
        <v>7</v>
      </c>
      <c r="B7" s="10">
        <v>0</v>
      </c>
      <c r="C7" s="10">
        <v>0</v>
      </c>
      <c r="D7" s="10">
        <v>4</v>
      </c>
      <c r="E7" s="10">
        <v>0</v>
      </c>
      <c r="F7" s="10">
        <v>4</v>
      </c>
    </row>
    <row r="8" spans="1:6" ht="13.5">
      <c r="A8" s="9" t="s">
        <v>8</v>
      </c>
      <c r="B8" s="10">
        <v>0</v>
      </c>
      <c r="C8" s="10">
        <v>0</v>
      </c>
      <c r="D8" s="10">
        <v>69</v>
      </c>
      <c r="E8" s="10">
        <v>0</v>
      </c>
      <c r="F8" s="10">
        <v>69</v>
      </c>
    </row>
    <row r="9" spans="1:6" s="6" customFormat="1" ht="15">
      <c r="A9" s="9" t="s">
        <v>9</v>
      </c>
      <c r="B9" s="10">
        <v>0</v>
      </c>
      <c r="C9" s="10">
        <v>120</v>
      </c>
      <c r="D9" s="10">
        <v>0</v>
      </c>
      <c r="E9" s="10">
        <v>0</v>
      </c>
      <c r="F9" s="10">
        <v>120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34</v>
      </c>
      <c r="F10" s="10">
        <v>34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81</v>
      </c>
      <c r="F11" s="10">
        <v>81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381</v>
      </c>
      <c r="F12" s="10">
        <v>381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243</v>
      </c>
      <c r="F13" s="10">
        <v>243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5717</v>
      </c>
      <c r="F14" s="10">
        <v>5717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4773</v>
      </c>
      <c r="F15" s="10">
        <v>4773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131</v>
      </c>
      <c r="F16" s="10">
        <v>131</v>
      </c>
    </row>
    <row r="17" spans="1:6" ht="14.25" customHeight="1">
      <c r="A17" s="9" t="s">
        <v>17</v>
      </c>
      <c r="B17" s="10">
        <v>7437</v>
      </c>
      <c r="C17" s="10">
        <v>0</v>
      </c>
      <c r="D17" s="10">
        <v>0</v>
      </c>
      <c r="E17" s="10">
        <v>0</v>
      </c>
      <c r="F17" s="10">
        <v>7437</v>
      </c>
    </row>
    <row r="18" spans="1:6" s="6" customFormat="1" ht="15">
      <c r="A18" s="9" t="s">
        <v>20</v>
      </c>
      <c r="B18" s="10">
        <v>0</v>
      </c>
      <c r="C18" s="10">
        <v>0</v>
      </c>
      <c r="D18" s="10">
        <v>0</v>
      </c>
      <c r="E18" s="10">
        <v>386</v>
      </c>
      <c r="F18" s="10">
        <v>386</v>
      </c>
    </row>
    <row r="19" spans="1:6" ht="13.5">
      <c r="A19" s="9" t="s">
        <v>21</v>
      </c>
      <c r="B19" s="10">
        <v>0</v>
      </c>
      <c r="C19" s="10">
        <v>0</v>
      </c>
      <c r="D19" s="10">
        <v>0</v>
      </c>
      <c r="E19" s="10">
        <v>1260</v>
      </c>
      <c r="F19" s="10">
        <v>1260</v>
      </c>
    </row>
    <row r="20" spans="1:6" s="6" customFormat="1" ht="15">
      <c r="A20" s="9" t="s">
        <v>22</v>
      </c>
      <c r="B20" s="10">
        <v>171</v>
      </c>
      <c r="C20" s="10">
        <v>0</v>
      </c>
      <c r="D20" s="10">
        <v>0</v>
      </c>
      <c r="E20" s="10">
        <v>0</v>
      </c>
      <c r="F20" s="10">
        <v>171</v>
      </c>
    </row>
    <row r="21" spans="1:6" ht="13.5">
      <c r="A21" s="9" t="s">
        <v>24</v>
      </c>
      <c r="B21" s="10">
        <v>33</v>
      </c>
      <c r="C21" s="10">
        <v>0</v>
      </c>
      <c r="D21" s="10">
        <v>0</v>
      </c>
      <c r="E21" s="10">
        <v>0</v>
      </c>
      <c r="F21" s="10">
        <v>33</v>
      </c>
    </row>
    <row r="22" spans="1:6" ht="13.5">
      <c r="A22" s="13" t="s">
        <v>0</v>
      </c>
      <c r="B22" s="13">
        <f>SUM(B4:B21)</f>
        <v>7641</v>
      </c>
      <c r="C22" s="13">
        <f>SUM(C4:C21)</f>
        <v>120</v>
      </c>
      <c r="D22" s="13">
        <f>SUM(D4:D21)</f>
        <v>73</v>
      </c>
      <c r="E22" s="13">
        <f>SUM(E4:E21)</f>
        <v>13273</v>
      </c>
      <c r="F22" s="13">
        <f>SUM(F4:F21)</f>
        <v>21107</v>
      </c>
    </row>
    <row r="23" spans="1:6" s="2" customFormat="1" ht="15">
      <c r="B23" s="1"/>
      <c r="C23" s="1"/>
      <c r="E23" s="1"/>
      <c r="F23" s="1"/>
    </row>
    <row r="24" spans="1:6" s="2" customFormat="1"/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4" max="6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28F8E-0E82-42E1-9248-18866F50EFD2}">
  <sheetPr>
    <outlinePr applyStyles="1"/>
  </sheetPr>
  <dimension ref="A1:F37"/>
  <sheetViews>
    <sheetView view="pageBreakPreview" topLeftCell="A2" zoomScaleSheetLayoutView="100" workbookViewId="0">
      <selection activeCell="A4" sqref="A4:F21"/>
    </sheetView>
  </sheetViews>
  <sheetFormatPr defaultColWidth="9.125" defaultRowHeight="12.75"/>
  <cols>
    <col min="1" max="1" width="28" style="3" bestFit="1" customWidth="1"/>
    <col min="2" max="2" width="14.625" style="3" customWidth="1"/>
    <col min="3" max="3" width="16.25" style="3" customWidth="1"/>
    <col min="4" max="4" width="15.875" style="3" customWidth="1"/>
    <col min="5" max="6" width="14.625" style="3" customWidth="1"/>
    <col min="7" max="16384" width="9.125" style="3"/>
  </cols>
  <sheetData>
    <row r="1" spans="1:6" ht="80.099999999999994" customHeight="1">
      <c r="A1" s="18" t="s">
        <v>26</v>
      </c>
      <c r="B1" s="18"/>
      <c r="C1" s="18"/>
      <c r="D1" s="18"/>
      <c r="E1" s="18"/>
      <c r="F1" s="18"/>
    </row>
    <row r="2" spans="1:6" s="4" customFormat="1" ht="16.5">
      <c r="A2" s="15" t="s">
        <v>18</v>
      </c>
      <c r="B2" s="15"/>
      <c r="C2" s="15"/>
      <c r="D2" s="15"/>
      <c r="E2" s="15"/>
      <c r="F2" s="15"/>
    </row>
    <row r="3" spans="1:6" s="5" customFormat="1" ht="65.25" customHeight="1">
      <c r="A3" s="11" t="s">
        <v>25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111</v>
      </c>
      <c r="F4" s="10">
        <v>111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90</v>
      </c>
      <c r="F5" s="10">
        <v>90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71</v>
      </c>
      <c r="F6" s="10">
        <v>71</v>
      </c>
    </row>
    <row r="7" spans="1:6" ht="13.5">
      <c r="A7" s="9" t="s">
        <v>7</v>
      </c>
      <c r="B7" s="10">
        <v>0</v>
      </c>
      <c r="C7" s="10">
        <v>0</v>
      </c>
      <c r="D7" s="10">
        <v>4</v>
      </c>
      <c r="E7" s="10">
        <v>0</v>
      </c>
      <c r="F7" s="10">
        <v>4</v>
      </c>
    </row>
    <row r="8" spans="1:6" ht="13.5">
      <c r="A8" s="9" t="s">
        <v>8</v>
      </c>
      <c r="B8" s="10">
        <v>0</v>
      </c>
      <c r="C8" s="10">
        <v>0</v>
      </c>
      <c r="D8" s="10">
        <v>69</v>
      </c>
      <c r="E8" s="10">
        <v>0</v>
      </c>
      <c r="F8" s="10">
        <v>69</v>
      </c>
    </row>
    <row r="9" spans="1:6" s="6" customFormat="1" ht="15">
      <c r="A9" s="9" t="s">
        <v>9</v>
      </c>
      <c r="B9" s="10">
        <v>0</v>
      </c>
      <c r="C9" s="10">
        <v>121</v>
      </c>
      <c r="D9" s="10">
        <v>0</v>
      </c>
      <c r="E9" s="10">
        <v>0</v>
      </c>
      <c r="F9" s="10">
        <v>121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33</v>
      </c>
      <c r="F10" s="10">
        <v>33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81</v>
      </c>
      <c r="F11" s="10">
        <v>81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369</v>
      </c>
      <c r="F12" s="10">
        <v>369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247</v>
      </c>
      <c r="F13" s="10">
        <v>247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5782</v>
      </c>
      <c r="F14" s="10">
        <v>5782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4797</v>
      </c>
      <c r="F15" s="10">
        <v>4797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126</v>
      </c>
      <c r="F16" s="10">
        <v>126</v>
      </c>
    </row>
    <row r="17" spans="1:6" ht="14.25" customHeight="1">
      <c r="A17" s="9" t="s">
        <v>17</v>
      </c>
      <c r="B17" s="10">
        <v>7443</v>
      </c>
      <c r="C17" s="10">
        <v>0</v>
      </c>
      <c r="D17" s="10">
        <v>0</v>
      </c>
      <c r="E17" s="10">
        <v>0</v>
      </c>
      <c r="F17" s="10">
        <v>7443</v>
      </c>
    </row>
    <row r="18" spans="1:6" s="6" customFormat="1" ht="15">
      <c r="A18" s="9" t="s">
        <v>20</v>
      </c>
      <c r="B18" s="10">
        <v>0</v>
      </c>
      <c r="C18" s="10">
        <v>0</v>
      </c>
      <c r="D18" s="10">
        <v>0</v>
      </c>
      <c r="E18" s="10">
        <v>381</v>
      </c>
      <c r="F18" s="10">
        <v>381</v>
      </c>
    </row>
    <row r="19" spans="1:6" ht="13.5">
      <c r="A19" s="9" t="s">
        <v>21</v>
      </c>
      <c r="B19" s="10">
        <v>0</v>
      </c>
      <c r="C19" s="10">
        <v>0</v>
      </c>
      <c r="D19" s="10">
        <v>0</v>
      </c>
      <c r="E19" s="10">
        <v>1259</v>
      </c>
      <c r="F19" s="10">
        <v>1259</v>
      </c>
    </row>
    <row r="20" spans="1:6" s="6" customFormat="1" ht="15">
      <c r="A20" s="9" t="s">
        <v>22</v>
      </c>
      <c r="B20" s="10">
        <v>174</v>
      </c>
      <c r="C20" s="10">
        <v>0</v>
      </c>
      <c r="D20" s="10">
        <v>0</v>
      </c>
      <c r="E20" s="10">
        <v>0</v>
      </c>
      <c r="F20" s="10">
        <v>174</v>
      </c>
    </row>
    <row r="21" spans="1:6" ht="13.5">
      <c r="A21" s="9" t="s">
        <v>24</v>
      </c>
      <c r="B21" s="10">
        <v>33</v>
      </c>
      <c r="C21" s="10">
        <v>0</v>
      </c>
      <c r="D21" s="10">
        <v>0</v>
      </c>
      <c r="E21" s="10">
        <v>0</v>
      </c>
      <c r="F21" s="10">
        <v>33</v>
      </c>
    </row>
    <row r="22" spans="1:6" ht="13.5">
      <c r="A22" s="13" t="s">
        <v>0</v>
      </c>
      <c r="B22" s="13">
        <f>SUM(B4:B21)</f>
        <v>7650</v>
      </c>
      <c r="C22" s="13">
        <f>SUM(C4:C21)</f>
        <v>121</v>
      </c>
      <c r="D22" s="13">
        <f>SUM(D4:D21)</f>
        <v>73</v>
      </c>
      <c r="E22" s="13">
        <f>SUM(E4:E21)</f>
        <v>13347</v>
      </c>
      <c r="F22" s="13">
        <f>SUM(F4:F21)</f>
        <v>21191</v>
      </c>
    </row>
    <row r="23" spans="1:6" s="2" customFormat="1" ht="15">
      <c r="B23" s="1"/>
      <c r="C23" s="1"/>
      <c r="E23" s="1"/>
      <c r="F23" s="1"/>
    </row>
    <row r="24" spans="1:6" s="2" customFormat="1"/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4" max="6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AFE93-EB8C-43C8-9C5D-AA1359538F7E}">
  <sheetPr>
    <outlinePr applyStyles="1"/>
  </sheetPr>
  <dimension ref="A1:F37"/>
  <sheetViews>
    <sheetView view="pageBreakPreview" topLeftCell="A2" zoomScaleSheetLayoutView="100" workbookViewId="0">
      <selection activeCell="A4" sqref="A4:F21"/>
    </sheetView>
  </sheetViews>
  <sheetFormatPr defaultColWidth="9.125" defaultRowHeight="12.75"/>
  <cols>
    <col min="1" max="1" width="28" style="3" bestFit="1" customWidth="1"/>
    <col min="2" max="2" width="14.625" style="3" customWidth="1"/>
    <col min="3" max="3" width="16.25" style="3" customWidth="1"/>
    <col min="4" max="4" width="15.875" style="3" customWidth="1"/>
    <col min="5" max="6" width="14.625" style="3" customWidth="1"/>
    <col min="7" max="16384" width="9.125" style="3"/>
  </cols>
  <sheetData>
    <row r="1" spans="1:6" ht="80.099999999999994" customHeight="1">
      <c r="A1" s="18" t="s">
        <v>26</v>
      </c>
      <c r="B1" s="18"/>
      <c r="C1" s="18"/>
      <c r="D1" s="18"/>
      <c r="E1" s="18"/>
      <c r="F1" s="18"/>
    </row>
    <row r="2" spans="1:6" s="4" customFormat="1" ht="16.5">
      <c r="A2" s="15" t="s">
        <v>18</v>
      </c>
      <c r="B2" s="15"/>
      <c r="C2" s="15"/>
      <c r="D2" s="15"/>
      <c r="E2" s="15"/>
      <c r="F2" s="15"/>
    </row>
    <row r="3" spans="1:6" s="5" customFormat="1" ht="65.25" customHeight="1">
      <c r="A3" s="11" t="s">
        <v>25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113</v>
      </c>
      <c r="F4" s="10">
        <v>113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91</v>
      </c>
      <c r="F5" s="10">
        <v>91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71</v>
      </c>
      <c r="F6" s="10">
        <v>71</v>
      </c>
    </row>
    <row r="7" spans="1:6" ht="13.5">
      <c r="A7" s="9" t="s">
        <v>7</v>
      </c>
      <c r="B7" s="10">
        <v>0</v>
      </c>
      <c r="C7" s="10">
        <v>0</v>
      </c>
      <c r="D7" s="10">
        <v>4</v>
      </c>
      <c r="E7" s="10">
        <v>0</v>
      </c>
      <c r="F7" s="10">
        <v>4</v>
      </c>
    </row>
    <row r="8" spans="1:6" ht="13.5">
      <c r="A8" s="9" t="s">
        <v>8</v>
      </c>
      <c r="B8" s="10">
        <v>0</v>
      </c>
      <c r="C8" s="10">
        <v>0</v>
      </c>
      <c r="D8" s="10">
        <v>68</v>
      </c>
      <c r="E8" s="10">
        <v>0</v>
      </c>
      <c r="F8" s="10">
        <v>68</v>
      </c>
    </row>
    <row r="9" spans="1:6" s="6" customFormat="1" ht="15">
      <c r="A9" s="9" t="s">
        <v>9</v>
      </c>
      <c r="B9" s="10">
        <v>0</v>
      </c>
      <c r="C9" s="10">
        <v>118</v>
      </c>
      <c r="D9" s="10">
        <v>0</v>
      </c>
      <c r="E9" s="10">
        <v>0</v>
      </c>
      <c r="F9" s="10">
        <v>118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31</v>
      </c>
      <c r="F10" s="10">
        <v>31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79</v>
      </c>
      <c r="F11" s="10">
        <v>79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361</v>
      </c>
      <c r="F12" s="10">
        <v>361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249</v>
      </c>
      <c r="F13" s="10">
        <v>249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5835</v>
      </c>
      <c r="F14" s="10">
        <v>5835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4812</v>
      </c>
      <c r="F15" s="10">
        <v>4812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127</v>
      </c>
      <c r="F16" s="10">
        <v>127</v>
      </c>
    </row>
    <row r="17" spans="1:6" ht="14.25" customHeight="1">
      <c r="A17" s="9" t="s">
        <v>17</v>
      </c>
      <c r="B17" s="10">
        <v>7437</v>
      </c>
      <c r="C17" s="10">
        <v>0</v>
      </c>
      <c r="D17" s="10">
        <v>0</v>
      </c>
      <c r="E17" s="10">
        <v>0</v>
      </c>
      <c r="F17" s="10">
        <v>7437</v>
      </c>
    </row>
    <row r="18" spans="1:6" s="6" customFormat="1" ht="15">
      <c r="A18" s="9" t="s">
        <v>20</v>
      </c>
      <c r="B18" s="10">
        <v>0</v>
      </c>
      <c r="C18" s="10">
        <v>0</v>
      </c>
      <c r="D18" s="10">
        <v>0</v>
      </c>
      <c r="E18" s="10">
        <v>381</v>
      </c>
      <c r="F18" s="10">
        <v>381</v>
      </c>
    </row>
    <row r="19" spans="1:6" ht="13.5">
      <c r="A19" s="9" t="s">
        <v>21</v>
      </c>
      <c r="B19" s="10">
        <v>0</v>
      </c>
      <c r="C19" s="10">
        <v>0</v>
      </c>
      <c r="D19" s="10">
        <v>0</v>
      </c>
      <c r="E19" s="10">
        <v>1259</v>
      </c>
      <c r="F19" s="10">
        <v>1259</v>
      </c>
    </row>
    <row r="20" spans="1:6" s="6" customFormat="1" ht="15">
      <c r="A20" s="9" t="s">
        <v>22</v>
      </c>
      <c r="B20" s="10">
        <v>174</v>
      </c>
      <c r="C20" s="10">
        <v>0</v>
      </c>
      <c r="D20" s="10">
        <v>0</v>
      </c>
      <c r="E20" s="10">
        <v>0</v>
      </c>
      <c r="F20" s="10">
        <v>174</v>
      </c>
    </row>
    <row r="21" spans="1:6" ht="13.5">
      <c r="A21" s="9" t="s">
        <v>24</v>
      </c>
      <c r="B21" s="10">
        <v>32</v>
      </c>
      <c r="C21" s="10">
        <v>0</v>
      </c>
      <c r="D21" s="10">
        <v>0</v>
      </c>
      <c r="E21" s="10">
        <v>0</v>
      </c>
      <c r="F21" s="10">
        <v>32</v>
      </c>
    </row>
    <row r="22" spans="1:6" ht="13.5">
      <c r="A22" s="13" t="s">
        <v>0</v>
      </c>
      <c r="B22" s="13">
        <f>SUM(B4:B21)</f>
        <v>7643</v>
      </c>
      <c r="C22" s="13">
        <f>SUM(C4:C21)</f>
        <v>118</v>
      </c>
      <c r="D22" s="13">
        <f>SUM(D4:D21)</f>
        <v>72</v>
      </c>
      <c r="E22" s="13">
        <f>SUM(E4:E21)</f>
        <v>13409</v>
      </c>
      <c r="F22" s="13">
        <f>SUM(F4:F21)</f>
        <v>21242</v>
      </c>
    </row>
    <row r="23" spans="1:6" s="2" customFormat="1" ht="15">
      <c r="B23" s="1"/>
      <c r="C23" s="1"/>
      <c r="E23" s="1"/>
      <c r="F23" s="1"/>
    </row>
    <row r="24" spans="1:6" s="2" customFormat="1"/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4" max="6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A8072-1055-4031-8A4C-BF36F8D7FCED}">
  <sheetPr>
    <outlinePr applyStyles="1"/>
  </sheetPr>
  <dimension ref="A1:F37"/>
  <sheetViews>
    <sheetView view="pageBreakPreview" topLeftCell="A2" zoomScaleSheetLayoutView="100" workbookViewId="0">
      <selection activeCell="A4" sqref="A4:F21"/>
    </sheetView>
  </sheetViews>
  <sheetFormatPr defaultColWidth="9.125" defaultRowHeight="12.75"/>
  <cols>
    <col min="1" max="1" width="28" style="3" bestFit="1" customWidth="1"/>
    <col min="2" max="2" width="14.625" style="3" customWidth="1"/>
    <col min="3" max="3" width="16.25" style="3" customWidth="1"/>
    <col min="4" max="4" width="15.875" style="3" customWidth="1"/>
    <col min="5" max="6" width="14.625" style="3" customWidth="1"/>
    <col min="7" max="16384" width="9.125" style="3"/>
  </cols>
  <sheetData>
    <row r="1" spans="1:6" ht="80.099999999999994" customHeight="1">
      <c r="A1" s="18" t="s">
        <v>26</v>
      </c>
      <c r="B1" s="18"/>
      <c r="C1" s="18"/>
      <c r="D1" s="18"/>
      <c r="E1" s="18"/>
      <c r="F1" s="18"/>
    </row>
    <row r="2" spans="1:6" s="4" customFormat="1" ht="16.5">
      <c r="A2" s="15" t="s">
        <v>18</v>
      </c>
      <c r="B2" s="15"/>
      <c r="C2" s="15"/>
      <c r="D2" s="15"/>
      <c r="E2" s="15"/>
      <c r="F2" s="15"/>
    </row>
    <row r="3" spans="1:6" s="5" customFormat="1" ht="65.25" customHeight="1">
      <c r="A3" s="11" t="s">
        <v>25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113</v>
      </c>
      <c r="F4" s="10">
        <v>113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91</v>
      </c>
      <c r="F5" s="10">
        <v>91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70</v>
      </c>
      <c r="F6" s="10">
        <v>70</v>
      </c>
    </row>
    <row r="7" spans="1:6" ht="13.5">
      <c r="A7" s="9" t="s">
        <v>7</v>
      </c>
      <c r="B7" s="10">
        <v>0</v>
      </c>
      <c r="C7" s="10">
        <v>0</v>
      </c>
      <c r="D7" s="10">
        <v>4</v>
      </c>
      <c r="E7" s="10">
        <v>0</v>
      </c>
      <c r="F7" s="10">
        <v>4</v>
      </c>
    </row>
    <row r="8" spans="1:6" ht="13.5">
      <c r="A8" s="9" t="s">
        <v>8</v>
      </c>
      <c r="B8" s="10">
        <v>0</v>
      </c>
      <c r="C8" s="10">
        <v>0</v>
      </c>
      <c r="D8" s="10">
        <v>66</v>
      </c>
      <c r="E8" s="10">
        <v>0</v>
      </c>
      <c r="F8" s="10">
        <v>66</v>
      </c>
    </row>
    <row r="9" spans="1:6" s="6" customFormat="1" ht="15">
      <c r="A9" s="9" t="s">
        <v>9</v>
      </c>
      <c r="B9" s="10">
        <v>0</v>
      </c>
      <c r="C9" s="10">
        <v>122</v>
      </c>
      <c r="D9" s="10">
        <v>0</v>
      </c>
      <c r="E9" s="10">
        <v>0</v>
      </c>
      <c r="F9" s="10">
        <v>122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31</v>
      </c>
      <c r="F10" s="10">
        <v>31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78</v>
      </c>
      <c r="F11" s="10">
        <v>78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351</v>
      </c>
      <c r="F12" s="10">
        <v>351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248</v>
      </c>
      <c r="F13" s="10">
        <v>248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5910</v>
      </c>
      <c r="F14" s="10">
        <v>5910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4853</v>
      </c>
      <c r="F15" s="10">
        <v>4853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127</v>
      </c>
      <c r="F16" s="10">
        <v>127</v>
      </c>
    </row>
    <row r="17" spans="1:6" ht="14.25" customHeight="1">
      <c r="A17" s="9" t="s">
        <v>17</v>
      </c>
      <c r="B17" s="10">
        <v>7438</v>
      </c>
      <c r="C17" s="10">
        <v>0</v>
      </c>
      <c r="D17" s="10">
        <v>0</v>
      </c>
      <c r="E17" s="10">
        <v>0</v>
      </c>
      <c r="F17" s="10">
        <v>7438</v>
      </c>
    </row>
    <row r="18" spans="1:6" s="6" customFormat="1" ht="15">
      <c r="A18" s="9" t="s">
        <v>20</v>
      </c>
      <c r="B18" s="10">
        <v>0</v>
      </c>
      <c r="C18" s="10">
        <v>0</v>
      </c>
      <c r="D18" s="10">
        <v>0</v>
      </c>
      <c r="E18" s="10">
        <v>378</v>
      </c>
      <c r="F18" s="10">
        <v>378</v>
      </c>
    </row>
    <row r="19" spans="1:6" ht="13.5">
      <c r="A19" s="9" t="s">
        <v>21</v>
      </c>
      <c r="B19" s="10">
        <v>0</v>
      </c>
      <c r="C19" s="10">
        <v>0</v>
      </c>
      <c r="D19" s="10">
        <v>0</v>
      </c>
      <c r="E19" s="10">
        <v>1266</v>
      </c>
      <c r="F19" s="10">
        <v>1266</v>
      </c>
    </row>
    <row r="20" spans="1:6" s="6" customFormat="1" ht="15">
      <c r="A20" s="9" t="s">
        <v>22</v>
      </c>
      <c r="B20" s="10">
        <v>175</v>
      </c>
      <c r="C20" s="10">
        <v>0</v>
      </c>
      <c r="D20" s="10">
        <v>0</v>
      </c>
      <c r="E20" s="10">
        <v>0</v>
      </c>
      <c r="F20" s="10">
        <v>175</v>
      </c>
    </row>
    <row r="21" spans="1:6" ht="13.5">
      <c r="A21" s="9" t="s">
        <v>24</v>
      </c>
      <c r="B21" s="10">
        <v>33</v>
      </c>
      <c r="C21" s="10">
        <v>0</v>
      </c>
      <c r="D21" s="10">
        <v>0</v>
      </c>
      <c r="E21" s="10">
        <v>0</v>
      </c>
      <c r="F21" s="10">
        <v>33</v>
      </c>
    </row>
    <row r="22" spans="1:6" ht="13.5">
      <c r="A22" s="13" t="s">
        <v>0</v>
      </c>
      <c r="B22" s="13">
        <f>SUM(B4:B21)</f>
        <v>7646</v>
      </c>
      <c r="C22" s="13">
        <f>SUM(C4:C21)</f>
        <v>122</v>
      </c>
      <c r="D22" s="13">
        <f>SUM(D4:D21)</f>
        <v>70</v>
      </c>
      <c r="E22" s="13">
        <f>SUM(E4:E21)</f>
        <v>13516</v>
      </c>
      <c r="F22" s="13">
        <f>SUM(F4:F21)</f>
        <v>21354</v>
      </c>
    </row>
    <row r="23" spans="1:6" s="2" customFormat="1" ht="15">
      <c r="B23" s="1"/>
      <c r="C23" s="1"/>
      <c r="E23" s="1"/>
      <c r="F23" s="1"/>
    </row>
    <row r="24" spans="1:6" s="2" customFormat="1"/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4" max="6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CFB38-D79B-4FD8-AEA6-957FDD0E1196}">
  <sheetPr>
    <outlinePr applyStyles="1"/>
  </sheetPr>
  <dimension ref="A1:F37"/>
  <sheetViews>
    <sheetView view="pageBreakPreview" topLeftCell="A2" zoomScaleSheetLayoutView="100" workbookViewId="0">
      <selection activeCell="A4" sqref="A4:F21"/>
    </sheetView>
  </sheetViews>
  <sheetFormatPr defaultColWidth="9.125" defaultRowHeight="12.75"/>
  <cols>
    <col min="1" max="1" width="28" style="3" bestFit="1" customWidth="1"/>
    <col min="2" max="2" width="14.625" style="3" customWidth="1"/>
    <col min="3" max="3" width="16.25" style="3" customWidth="1"/>
    <col min="4" max="4" width="15.875" style="3" customWidth="1"/>
    <col min="5" max="6" width="14.625" style="3" customWidth="1"/>
    <col min="7" max="16384" width="9.125" style="3"/>
  </cols>
  <sheetData>
    <row r="1" spans="1:6" ht="80.099999999999994" customHeight="1">
      <c r="A1" s="18" t="s">
        <v>26</v>
      </c>
      <c r="B1" s="18"/>
      <c r="C1" s="18"/>
      <c r="D1" s="18"/>
      <c r="E1" s="18"/>
      <c r="F1" s="18"/>
    </row>
    <row r="2" spans="1:6" s="4" customFormat="1" ht="16.5">
      <c r="A2" s="15" t="s">
        <v>18</v>
      </c>
      <c r="B2" s="15"/>
      <c r="C2" s="15"/>
      <c r="D2" s="15"/>
      <c r="E2" s="15"/>
      <c r="F2" s="15"/>
    </row>
    <row r="3" spans="1:6" s="5" customFormat="1" ht="65.25" customHeight="1">
      <c r="A3" s="11" t="s">
        <v>25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115</v>
      </c>
      <c r="F4" s="10">
        <v>115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95</v>
      </c>
      <c r="F5" s="10">
        <v>95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70</v>
      </c>
      <c r="F6" s="10">
        <v>70</v>
      </c>
    </row>
    <row r="7" spans="1:6" ht="13.5">
      <c r="A7" s="9" t="s">
        <v>7</v>
      </c>
      <c r="B7" s="10">
        <v>0</v>
      </c>
      <c r="C7" s="10">
        <v>0</v>
      </c>
      <c r="D7" s="10">
        <v>4</v>
      </c>
      <c r="E7" s="10">
        <v>0</v>
      </c>
      <c r="F7" s="10">
        <v>4</v>
      </c>
    </row>
    <row r="8" spans="1:6" ht="13.5">
      <c r="A8" s="9" t="s">
        <v>8</v>
      </c>
      <c r="B8" s="10">
        <v>0</v>
      </c>
      <c r="C8" s="10">
        <v>0</v>
      </c>
      <c r="D8" s="10">
        <v>67</v>
      </c>
      <c r="E8" s="10">
        <v>0</v>
      </c>
      <c r="F8" s="10">
        <v>67</v>
      </c>
    </row>
    <row r="9" spans="1:6" s="6" customFormat="1" ht="15">
      <c r="A9" s="9" t="s">
        <v>9</v>
      </c>
      <c r="B9" s="10">
        <v>0</v>
      </c>
      <c r="C9" s="10">
        <v>123</v>
      </c>
      <c r="D9" s="10">
        <v>0</v>
      </c>
      <c r="E9" s="10">
        <v>0</v>
      </c>
      <c r="F9" s="10">
        <v>123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28</v>
      </c>
      <c r="F10" s="10">
        <v>28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79</v>
      </c>
      <c r="F11" s="10">
        <v>79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334</v>
      </c>
      <c r="F12" s="10">
        <v>334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251</v>
      </c>
      <c r="F13" s="10">
        <v>251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5973</v>
      </c>
      <c r="F14" s="10">
        <v>5973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4891</v>
      </c>
      <c r="F15" s="10">
        <v>4891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124</v>
      </c>
      <c r="F16" s="10">
        <v>124</v>
      </c>
    </row>
    <row r="17" spans="1:6" ht="14.25" customHeight="1">
      <c r="A17" s="9" t="s">
        <v>17</v>
      </c>
      <c r="B17" s="10">
        <v>7414</v>
      </c>
      <c r="C17" s="10">
        <v>0</v>
      </c>
      <c r="D17" s="10">
        <v>0</v>
      </c>
      <c r="E17" s="10">
        <v>0</v>
      </c>
      <c r="F17" s="10">
        <v>7414</v>
      </c>
    </row>
    <row r="18" spans="1:6" s="6" customFormat="1" ht="15">
      <c r="A18" s="9" t="s">
        <v>20</v>
      </c>
      <c r="B18" s="10">
        <v>0</v>
      </c>
      <c r="C18" s="10">
        <v>0</v>
      </c>
      <c r="D18" s="10">
        <v>0</v>
      </c>
      <c r="E18" s="10">
        <v>378</v>
      </c>
      <c r="F18" s="10">
        <v>378</v>
      </c>
    </row>
    <row r="19" spans="1:6" ht="13.5">
      <c r="A19" s="9" t="s">
        <v>21</v>
      </c>
      <c r="B19" s="10">
        <v>0</v>
      </c>
      <c r="C19" s="10">
        <v>0</v>
      </c>
      <c r="D19" s="10">
        <v>0</v>
      </c>
      <c r="E19" s="10">
        <v>1267</v>
      </c>
      <c r="F19" s="10">
        <v>1267</v>
      </c>
    </row>
    <row r="20" spans="1:6" s="6" customFormat="1" ht="15">
      <c r="A20" s="9" t="s">
        <v>22</v>
      </c>
      <c r="B20" s="10">
        <v>174</v>
      </c>
      <c r="C20" s="10">
        <v>0</v>
      </c>
      <c r="D20" s="10">
        <v>0</v>
      </c>
      <c r="E20" s="10">
        <v>0</v>
      </c>
      <c r="F20" s="10">
        <v>174</v>
      </c>
    </row>
    <row r="21" spans="1:6" ht="13.5">
      <c r="A21" s="9" t="s">
        <v>24</v>
      </c>
      <c r="B21" s="10">
        <v>33</v>
      </c>
      <c r="C21" s="10">
        <v>0</v>
      </c>
      <c r="D21" s="10">
        <v>0</v>
      </c>
      <c r="E21" s="10">
        <v>0</v>
      </c>
      <c r="F21" s="10">
        <v>33</v>
      </c>
    </row>
    <row r="22" spans="1:6" ht="13.5">
      <c r="A22" s="13" t="s">
        <v>0</v>
      </c>
      <c r="B22" s="13">
        <f>SUM(B4:B21)</f>
        <v>7621</v>
      </c>
      <c r="C22" s="13">
        <f>SUM(C4:C21)</f>
        <v>123</v>
      </c>
      <c r="D22" s="13">
        <f>SUM(D4:D21)</f>
        <v>71</v>
      </c>
      <c r="E22" s="13">
        <f>SUM(E4:E21)</f>
        <v>13605</v>
      </c>
      <c r="F22" s="13">
        <f>SUM(F4:F21)</f>
        <v>21420</v>
      </c>
    </row>
    <row r="23" spans="1:6" s="2" customFormat="1" ht="15">
      <c r="B23" s="1"/>
      <c r="C23" s="1"/>
      <c r="E23" s="1"/>
      <c r="F23" s="1"/>
    </row>
    <row r="24" spans="1:6" s="2" customFormat="1"/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4" max="6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239BD-899D-4779-A9E8-58611B959FCA}">
  <sheetPr>
    <outlinePr applyStyles="1"/>
  </sheetPr>
  <dimension ref="A1:F37"/>
  <sheetViews>
    <sheetView view="pageBreakPreview" topLeftCell="A2" zoomScaleSheetLayoutView="100" workbookViewId="0">
      <selection activeCell="A4" sqref="A4:F21"/>
    </sheetView>
  </sheetViews>
  <sheetFormatPr defaultColWidth="9.125" defaultRowHeight="12.75"/>
  <cols>
    <col min="1" max="1" width="28" style="3" bestFit="1" customWidth="1"/>
    <col min="2" max="2" width="14.625" style="3" customWidth="1"/>
    <col min="3" max="3" width="16.25" style="3" customWidth="1"/>
    <col min="4" max="4" width="15.875" style="3" customWidth="1"/>
    <col min="5" max="6" width="14.625" style="3" customWidth="1"/>
    <col min="7" max="16384" width="9.125" style="3"/>
  </cols>
  <sheetData>
    <row r="1" spans="1:6" ht="80.099999999999994" customHeight="1">
      <c r="A1" s="18" t="s">
        <v>26</v>
      </c>
      <c r="B1" s="18"/>
      <c r="C1" s="18"/>
      <c r="D1" s="18"/>
      <c r="E1" s="18"/>
      <c r="F1" s="18"/>
    </row>
    <row r="2" spans="1:6" s="4" customFormat="1" ht="16.5">
      <c r="A2" s="15" t="s">
        <v>18</v>
      </c>
      <c r="B2" s="15"/>
      <c r="C2" s="15"/>
      <c r="D2" s="15"/>
      <c r="E2" s="15"/>
      <c r="F2" s="15"/>
    </row>
    <row r="3" spans="1:6" s="5" customFormat="1" ht="65.25" customHeight="1">
      <c r="A3" s="11" t="s">
        <v>25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118</v>
      </c>
      <c r="F4" s="10">
        <v>118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95</v>
      </c>
      <c r="F5" s="10">
        <v>95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73</v>
      </c>
      <c r="F6" s="10">
        <v>73</v>
      </c>
    </row>
    <row r="7" spans="1:6" ht="13.5">
      <c r="A7" s="9" t="s">
        <v>7</v>
      </c>
      <c r="B7" s="10">
        <v>0</v>
      </c>
      <c r="C7" s="10">
        <v>0</v>
      </c>
      <c r="D7" s="10">
        <v>4</v>
      </c>
      <c r="E7" s="10">
        <v>0</v>
      </c>
      <c r="F7" s="10">
        <v>4</v>
      </c>
    </row>
    <row r="8" spans="1:6" ht="13.5">
      <c r="A8" s="9" t="s">
        <v>8</v>
      </c>
      <c r="B8" s="10">
        <v>0</v>
      </c>
      <c r="C8" s="10">
        <v>0</v>
      </c>
      <c r="D8" s="10">
        <v>67</v>
      </c>
      <c r="E8" s="10">
        <v>0</v>
      </c>
      <c r="F8" s="10">
        <v>67</v>
      </c>
    </row>
    <row r="9" spans="1:6" s="6" customFormat="1" ht="15">
      <c r="A9" s="9" t="s">
        <v>9</v>
      </c>
      <c r="B9" s="10">
        <v>0</v>
      </c>
      <c r="C9" s="10">
        <v>125</v>
      </c>
      <c r="D9" s="10">
        <v>0</v>
      </c>
      <c r="E9" s="10">
        <v>0</v>
      </c>
      <c r="F9" s="10">
        <v>125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28</v>
      </c>
      <c r="F10" s="10">
        <v>28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79</v>
      </c>
      <c r="F11" s="10">
        <v>79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321</v>
      </c>
      <c r="F12" s="10">
        <v>321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256</v>
      </c>
      <c r="F13" s="10">
        <v>256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6029</v>
      </c>
      <c r="F14" s="10">
        <v>6029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4912</v>
      </c>
      <c r="F15" s="10">
        <v>4912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124</v>
      </c>
      <c r="F16" s="10">
        <v>124</v>
      </c>
    </row>
    <row r="17" spans="1:6" ht="14.25" customHeight="1">
      <c r="A17" s="9" t="s">
        <v>17</v>
      </c>
      <c r="B17" s="10">
        <v>7391</v>
      </c>
      <c r="C17" s="10">
        <v>0</v>
      </c>
      <c r="D17" s="10">
        <v>0</v>
      </c>
      <c r="E17" s="10">
        <v>0</v>
      </c>
      <c r="F17" s="10">
        <v>7391</v>
      </c>
    </row>
    <row r="18" spans="1:6" s="6" customFormat="1" ht="15">
      <c r="A18" s="9" t="s">
        <v>20</v>
      </c>
      <c r="B18" s="10">
        <v>0</v>
      </c>
      <c r="C18" s="10">
        <v>0</v>
      </c>
      <c r="D18" s="10">
        <v>0</v>
      </c>
      <c r="E18" s="10">
        <v>380</v>
      </c>
      <c r="F18" s="10">
        <v>380</v>
      </c>
    </row>
    <row r="19" spans="1:6" ht="13.5">
      <c r="A19" s="9" t="s">
        <v>21</v>
      </c>
      <c r="B19" s="10">
        <v>0</v>
      </c>
      <c r="C19" s="10">
        <v>0</v>
      </c>
      <c r="D19" s="10">
        <v>0</v>
      </c>
      <c r="E19" s="10">
        <v>1263</v>
      </c>
      <c r="F19" s="10">
        <v>1263</v>
      </c>
    </row>
    <row r="20" spans="1:6" s="6" customFormat="1" ht="15">
      <c r="A20" s="9" t="s">
        <v>22</v>
      </c>
      <c r="B20" s="10">
        <v>176</v>
      </c>
      <c r="C20" s="10">
        <v>0</v>
      </c>
      <c r="D20" s="10">
        <v>0</v>
      </c>
      <c r="E20" s="10">
        <v>0</v>
      </c>
      <c r="F20" s="10">
        <v>176</v>
      </c>
    </row>
    <row r="21" spans="1:6" ht="13.5">
      <c r="A21" s="9" t="s">
        <v>24</v>
      </c>
      <c r="B21" s="10">
        <v>31</v>
      </c>
      <c r="C21" s="10">
        <v>0</v>
      </c>
      <c r="D21" s="10">
        <v>0</v>
      </c>
      <c r="E21" s="10">
        <v>0</v>
      </c>
      <c r="F21" s="10">
        <v>31</v>
      </c>
    </row>
    <row r="22" spans="1:6" ht="13.5">
      <c r="A22" s="13" t="s">
        <v>0</v>
      </c>
      <c r="B22" s="13">
        <f>SUM(B4:B21)</f>
        <v>7598</v>
      </c>
      <c r="C22" s="13">
        <f>SUM(C4:C21)</f>
        <v>125</v>
      </c>
      <c r="D22" s="13">
        <f>SUM(D4:D21)</f>
        <v>71</v>
      </c>
      <c r="E22" s="13">
        <f>SUM(E4:E21)</f>
        <v>13678</v>
      </c>
      <c r="F22" s="13">
        <f>SUM(F4:F21)</f>
        <v>21472</v>
      </c>
    </row>
    <row r="23" spans="1:6" s="2" customFormat="1" ht="15">
      <c r="B23" s="1"/>
      <c r="C23" s="1"/>
      <c r="E23" s="1"/>
      <c r="F23" s="1"/>
    </row>
    <row r="24" spans="1:6" s="2" customFormat="1"/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4" max="6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83EE3-C697-4718-AFEF-430874D7339E}">
  <sheetPr>
    <outlinePr applyStyles="1"/>
  </sheetPr>
  <dimension ref="A1:F37"/>
  <sheetViews>
    <sheetView view="pageBreakPreview" topLeftCell="A2" zoomScaleSheetLayoutView="100" workbookViewId="0">
      <selection activeCell="A4" sqref="A4:F21"/>
    </sheetView>
  </sheetViews>
  <sheetFormatPr defaultColWidth="9.125" defaultRowHeight="12.75"/>
  <cols>
    <col min="1" max="1" width="28" style="3" bestFit="1" customWidth="1"/>
    <col min="2" max="2" width="14.625" style="3" customWidth="1"/>
    <col min="3" max="3" width="16.25" style="3" customWidth="1"/>
    <col min="4" max="4" width="15.875" style="3" customWidth="1"/>
    <col min="5" max="6" width="14.625" style="3" customWidth="1"/>
    <col min="7" max="16384" width="9.125" style="3"/>
  </cols>
  <sheetData>
    <row r="1" spans="1:6" ht="80.099999999999994" customHeight="1">
      <c r="A1" s="18" t="s">
        <v>26</v>
      </c>
      <c r="B1" s="18"/>
      <c r="C1" s="18"/>
      <c r="D1" s="18"/>
      <c r="E1" s="18"/>
      <c r="F1" s="18"/>
    </row>
    <row r="2" spans="1:6" s="4" customFormat="1" ht="16.5">
      <c r="A2" s="15" t="s">
        <v>18</v>
      </c>
      <c r="B2" s="15"/>
      <c r="C2" s="15"/>
      <c r="D2" s="15"/>
      <c r="E2" s="15"/>
      <c r="F2" s="15"/>
    </row>
    <row r="3" spans="1:6" s="5" customFormat="1" ht="65.25" customHeight="1">
      <c r="A3" s="11" t="s">
        <v>25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121</v>
      </c>
      <c r="F4" s="10">
        <v>121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98</v>
      </c>
      <c r="F5" s="10">
        <v>98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73</v>
      </c>
      <c r="F6" s="10">
        <v>73</v>
      </c>
    </row>
    <row r="7" spans="1:6" ht="13.5">
      <c r="A7" s="9" t="s">
        <v>7</v>
      </c>
      <c r="B7" s="10">
        <v>0</v>
      </c>
      <c r="C7" s="10">
        <v>0</v>
      </c>
      <c r="D7" s="10">
        <v>4</v>
      </c>
      <c r="E7" s="10">
        <v>0</v>
      </c>
      <c r="F7" s="10">
        <v>4</v>
      </c>
    </row>
    <row r="8" spans="1:6" ht="13.5">
      <c r="A8" s="9" t="s">
        <v>8</v>
      </c>
      <c r="B8" s="10">
        <v>0</v>
      </c>
      <c r="C8" s="10">
        <v>0</v>
      </c>
      <c r="D8" s="10">
        <v>68</v>
      </c>
      <c r="E8" s="10">
        <v>0</v>
      </c>
      <c r="F8" s="10">
        <v>68</v>
      </c>
    </row>
    <row r="9" spans="1:6" s="6" customFormat="1" ht="15">
      <c r="A9" s="9" t="s">
        <v>9</v>
      </c>
      <c r="B9" s="10">
        <v>0</v>
      </c>
      <c r="C9" s="10">
        <v>125</v>
      </c>
      <c r="D9" s="10">
        <v>0</v>
      </c>
      <c r="E9" s="10">
        <v>0</v>
      </c>
      <c r="F9" s="10">
        <v>125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27</v>
      </c>
      <c r="F10" s="10">
        <v>27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78</v>
      </c>
      <c r="F11" s="10">
        <v>78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311</v>
      </c>
      <c r="F12" s="10">
        <v>311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257</v>
      </c>
      <c r="F13" s="10">
        <v>257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6084</v>
      </c>
      <c r="F14" s="10">
        <v>6084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4933</v>
      </c>
      <c r="F15" s="10">
        <v>4933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124</v>
      </c>
      <c r="F16" s="10">
        <v>124</v>
      </c>
    </row>
    <row r="17" spans="1:6" ht="14.25" customHeight="1">
      <c r="A17" s="9" t="s">
        <v>17</v>
      </c>
      <c r="B17" s="10">
        <v>7393</v>
      </c>
      <c r="C17" s="10">
        <v>0</v>
      </c>
      <c r="D17" s="10">
        <v>0</v>
      </c>
      <c r="E17" s="10">
        <v>0</v>
      </c>
      <c r="F17" s="10">
        <v>7393</v>
      </c>
    </row>
    <row r="18" spans="1:6" s="6" customFormat="1" ht="15">
      <c r="A18" s="9" t="s">
        <v>20</v>
      </c>
      <c r="B18" s="10">
        <v>0</v>
      </c>
      <c r="C18" s="10">
        <v>0</v>
      </c>
      <c r="D18" s="10">
        <v>0</v>
      </c>
      <c r="E18" s="10">
        <v>384</v>
      </c>
      <c r="F18" s="10">
        <v>384</v>
      </c>
    </row>
    <row r="19" spans="1:6" ht="13.5">
      <c r="A19" s="9" t="s">
        <v>21</v>
      </c>
      <c r="B19" s="10">
        <v>0</v>
      </c>
      <c r="C19" s="10">
        <v>0</v>
      </c>
      <c r="D19" s="10">
        <v>0</v>
      </c>
      <c r="E19" s="10">
        <v>1265</v>
      </c>
      <c r="F19" s="10">
        <v>1265</v>
      </c>
    </row>
    <row r="20" spans="1:6" s="6" customFormat="1" ht="15">
      <c r="A20" s="9" t="s">
        <v>22</v>
      </c>
      <c r="B20" s="10">
        <v>177</v>
      </c>
      <c r="C20" s="10">
        <v>0</v>
      </c>
      <c r="D20" s="10">
        <v>0</v>
      </c>
      <c r="E20" s="10">
        <v>0</v>
      </c>
      <c r="F20" s="10">
        <v>177</v>
      </c>
    </row>
    <row r="21" spans="1:6" ht="13.5">
      <c r="A21" s="9" t="s">
        <v>24</v>
      </c>
      <c r="B21" s="10">
        <v>31</v>
      </c>
      <c r="C21" s="10">
        <v>0</v>
      </c>
      <c r="D21" s="10">
        <v>0</v>
      </c>
      <c r="E21" s="10">
        <v>0</v>
      </c>
      <c r="F21" s="10">
        <v>31</v>
      </c>
    </row>
    <row r="22" spans="1:6" ht="13.5">
      <c r="A22" s="13" t="s">
        <v>0</v>
      </c>
      <c r="B22" s="13">
        <f>SUM(B4:B21)</f>
        <v>7601</v>
      </c>
      <c r="C22" s="13">
        <f>SUM(C4:C21)</f>
        <v>125</v>
      </c>
      <c r="D22" s="13">
        <f>SUM(D4:D21)</f>
        <v>72</v>
      </c>
      <c r="E22" s="13">
        <f>SUM(E4:E21)</f>
        <v>13755</v>
      </c>
      <c r="F22" s="13">
        <f>SUM(F4:F21)</f>
        <v>21553</v>
      </c>
    </row>
    <row r="23" spans="1:6" s="2" customFormat="1" ht="15">
      <c r="B23" s="1"/>
      <c r="C23" s="1"/>
      <c r="E23" s="1"/>
      <c r="F23" s="1"/>
    </row>
    <row r="24" spans="1:6" s="2" customFormat="1"/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4" max="6" man="1"/>
  </row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F2548-9AAD-4FD2-BD0D-B5DF0AA0F3E3}">
  <sheetPr>
    <outlinePr applyStyles="1"/>
  </sheetPr>
  <dimension ref="A1:F37"/>
  <sheetViews>
    <sheetView view="pageBreakPreview" topLeftCell="A2" zoomScaleSheetLayoutView="100" workbookViewId="0">
      <selection activeCell="A4" sqref="A4:F21"/>
    </sheetView>
  </sheetViews>
  <sheetFormatPr defaultColWidth="9.125" defaultRowHeight="12.75"/>
  <cols>
    <col min="1" max="1" width="28" style="3" bestFit="1" customWidth="1"/>
    <col min="2" max="2" width="14.625" style="3" customWidth="1"/>
    <col min="3" max="3" width="16.25" style="3" customWidth="1"/>
    <col min="4" max="4" width="15.875" style="3" customWidth="1"/>
    <col min="5" max="6" width="14.625" style="3" customWidth="1"/>
    <col min="7" max="16384" width="9.125" style="3"/>
  </cols>
  <sheetData>
    <row r="1" spans="1:6" ht="80.099999999999994" customHeight="1">
      <c r="A1" s="18" t="s">
        <v>26</v>
      </c>
      <c r="B1" s="18"/>
      <c r="C1" s="18"/>
      <c r="D1" s="18"/>
      <c r="E1" s="18"/>
      <c r="F1" s="18"/>
    </row>
    <row r="2" spans="1:6" s="4" customFormat="1" ht="16.5">
      <c r="A2" s="15" t="s">
        <v>18</v>
      </c>
      <c r="B2" s="15"/>
      <c r="C2" s="15"/>
      <c r="D2" s="15"/>
      <c r="E2" s="15"/>
      <c r="F2" s="15"/>
    </row>
    <row r="3" spans="1:6" s="5" customFormat="1" ht="65.25" customHeight="1">
      <c r="A3" s="11" t="s">
        <v>25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122</v>
      </c>
      <c r="F4" s="10">
        <v>122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99</v>
      </c>
      <c r="F5" s="10">
        <v>99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74</v>
      </c>
      <c r="F6" s="10">
        <v>74</v>
      </c>
    </row>
    <row r="7" spans="1:6" ht="13.5">
      <c r="A7" s="9" t="s">
        <v>7</v>
      </c>
      <c r="B7" s="10">
        <v>0</v>
      </c>
      <c r="C7" s="10">
        <v>0</v>
      </c>
      <c r="D7" s="10">
        <v>4</v>
      </c>
      <c r="E7" s="10">
        <v>0</v>
      </c>
      <c r="F7" s="10">
        <v>4</v>
      </c>
    </row>
    <row r="8" spans="1:6" ht="13.5">
      <c r="A8" s="9" t="s">
        <v>8</v>
      </c>
      <c r="B8" s="10">
        <v>0</v>
      </c>
      <c r="C8" s="10">
        <v>0</v>
      </c>
      <c r="D8" s="10">
        <v>67</v>
      </c>
      <c r="E8" s="10">
        <v>0</v>
      </c>
      <c r="F8" s="10">
        <v>67</v>
      </c>
    </row>
    <row r="9" spans="1:6" s="6" customFormat="1" ht="15">
      <c r="A9" s="9" t="s">
        <v>9</v>
      </c>
      <c r="B9" s="10">
        <v>0</v>
      </c>
      <c r="C9" s="10">
        <v>125</v>
      </c>
      <c r="D9" s="10">
        <v>0</v>
      </c>
      <c r="E9" s="10">
        <v>0</v>
      </c>
      <c r="F9" s="10">
        <v>125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25</v>
      </c>
      <c r="F10" s="10">
        <v>25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77</v>
      </c>
      <c r="F11" s="10">
        <v>77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300</v>
      </c>
      <c r="F12" s="10">
        <v>300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261</v>
      </c>
      <c r="F13" s="10">
        <v>261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6146</v>
      </c>
      <c r="F14" s="10">
        <v>6146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4946</v>
      </c>
      <c r="F15" s="10">
        <v>4946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122</v>
      </c>
      <c r="F16" s="10">
        <v>122</v>
      </c>
    </row>
    <row r="17" spans="1:6" ht="14.25" customHeight="1">
      <c r="A17" s="9" t="s">
        <v>17</v>
      </c>
      <c r="B17" s="10">
        <v>7369</v>
      </c>
      <c r="C17" s="10">
        <v>0</v>
      </c>
      <c r="D17" s="10">
        <v>0</v>
      </c>
      <c r="E17" s="10">
        <v>0</v>
      </c>
      <c r="F17" s="10">
        <v>7369</v>
      </c>
    </row>
    <row r="18" spans="1:6" s="6" customFormat="1" ht="15">
      <c r="A18" s="9" t="s">
        <v>20</v>
      </c>
      <c r="B18" s="10">
        <v>0</v>
      </c>
      <c r="C18" s="10">
        <v>0</v>
      </c>
      <c r="D18" s="10">
        <v>0</v>
      </c>
      <c r="E18" s="10">
        <v>379</v>
      </c>
      <c r="F18" s="10">
        <v>379</v>
      </c>
    </row>
    <row r="19" spans="1:6" ht="13.5">
      <c r="A19" s="9" t="s">
        <v>21</v>
      </c>
      <c r="B19" s="10">
        <v>0</v>
      </c>
      <c r="C19" s="10">
        <v>0</v>
      </c>
      <c r="D19" s="10">
        <v>0</v>
      </c>
      <c r="E19" s="10">
        <v>1265</v>
      </c>
      <c r="F19" s="10">
        <v>1265</v>
      </c>
    </row>
    <row r="20" spans="1:6" s="6" customFormat="1" ht="15">
      <c r="A20" s="9" t="s">
        <v>22</v>
      </c>
      <c r="B20" s="10">
        <v>178</v>
      </c>
      <c r="C20" s="10">
        <v>0</v>
      </c>
      <c r="D20" s="10">
        <v>0</v>
      </c>
      <c r="E20" s="10">
        <v>0</v>
      </c>
      <c r="F20" s="10">
        <v>178</v>
      </c>
    </row>
    <row r="21" spans="1:6" ht="13.5">
      <c r="A21" s="9" t="s">
        <v>24</v>
      </c>
      <c r="B21" s="10">
        <v>30</v>
      </c>
      <c r="C21" s="10">
        <v>0</v>
      </c>
      <c r="D21" s="10">
        <v>0</v>
      </c>
      <c r="E21" s="10">
        <v>0</v>
      </c>
      <c r="F21" s="10">
        <v>30</v>
      </c>
    </row>
    <row r="22" spans="1:6" ht="13.5">
      <c r="A22" s="13" t="s">
        <v>0</v>
      </c>
      <c r="B22" s="13">
        <f>SUM(B4:B21)</f>
        <v>7577</v>
      </c>
      <c r="C22" s="13">
        <f>SUM(C4:C21)</f>
        <v>125</v>
      </c>
      <c r="D22" s="13">
        <f>SUM(D4:D21)</f>
        <v>71</v>
      </c>
      <c r="E22" s="13">
        <f>SUM(E4:E21)</f>
        <v>13816</v>
      </c>
      <c r="F22" s="13">
        <f>SUM(F4:F21)</f>
        <v>21589</v>
      </c>
    </row>
    <row r="23" spans="1:6" s="2" customFormat="1" ht="15">
      <c r="B23" s="1"/>
      <c r="C23" s="1"/>
      <c r="E23" s="1"/>
      <c r="F23" s="1"/>
    </row>
    <row r="24" spans="1:6" s="2" customFormat="1"/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23</vt:i4>
      </vt:variant>
    </vt:vector>
  </HeadingPairs>
  <TitlesOfParts>
    <vt:vector size="47" baseType="lpstr">
      <vt:lpstr>განმარტებები</vt:lpstr>
      <vt:lpstr>იანვარი</vt:lpstr>
      <vt:lpstr>თებერვალი</vt:lpstr>
      <vt:lpstr>მარტი</vt:lpstr>
      <vt:lpstr>აპრილი</vt:lpstr>
      <vt:lpstr>მაისი</vt:lpstr>
      <vt:lpstr>ივნისი</vt:lpstr>
      <vt:lpstr>ივლისი</vt:lpstr>
      <vt:lpstr>აგვისტო</vt:lpstr>
      <vt:lpstr>სექტემბერი</vt:lpstr>
      <vt:lpstr>ოქტომბერი</vt:lpstr>
      <vt:lpstr>ნოემბერი</vt:lpstr>
      <vt:lpstr>დეკემბერი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  <vt:lpstr>აგვისტო!Print_Area</vt:lpstr>
      <vt:lpstr>აპრილი!Print_Area</vt:lpstr>
      <vt:lpstr>დეკემბერი!Print_Area</vt:lpstr>
      <vt:lpstr>თებერვალი!Print_Area</vt:lpstr>
      <vt:lpstr>იანვარი!Print_Area</vt:lpstr>
      <vt:lpstr>ივლისი!Print_Area</vt:lpstr>
      <vt:lpstr>ივნისი!Print_Area</vt:lpstr>
      <vt:lpstr>მაისი!Print_Area</vt:lpstr>
      <vt:lpstr>მარტი!Print_Area</vt:lpstr>
      <vt:lpstr>ნოემბერი!Print_Area</vt:lpstr>
      <vt:lpstr>ოქტომბერი!Print_Area</vt:lpstr>
      <vt:lpstr>სექტემბერი!Print_Area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lela danelia</cp:lastModifiedBy>
  <dcterms:created xsi:type="dcterms:W3CDTF">2022-08-17T12:09:20Z</dcterms:created>
  <dcterms:modified xsi:type="dcterms:W3CDTF">2025-12-25T13:55:59Z</dcterms:modified>
</cp:coreProperties>
</file>