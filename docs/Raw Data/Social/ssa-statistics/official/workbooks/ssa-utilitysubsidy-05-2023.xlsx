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Tamazi_Sukhashvili\SQL_SCRIPTS\26 - 31 (ყოველი თვის)\სოცები საიტის ცხრილები\3 სუბსიდია\"/>
    </mc:Choice>
  </mc:AlternateContent>
  <bookViews>
    <workbookView xWindow="-120" yWindow="-120" windowWidth="24240" windowHeight="13290" firstSheet="2" activeTab="12"/>
  </bookViews>
  <sheets>
    <sheet name="განმარტებები" sheetId="11" r:id="rId1"/>
    <sheet name="January" sheetId="3" r:id="rId2"/>
    <sheet name="February" sheetId="19" r:id="rId3"/>
    <sheet name="March" sheetId="20" r:id="rId4"/>
    <sheet name="April" sheetId="22" r:id="rId5"/>
    <sheet name="May" sheetId="21" r:id="rId6"/>
    <sheet name="June" sheetId="23" r:id="rId7"/>
    <sheet name="July" sheetId="24" r:id="rId8"/>
    <sheet name="August" sheetId="25" r:id="rId9"/>
    <sheet name="September" sheetId="26" r:id="rId10"/>
    <sheet name="October" sheetId="27" r:id="rId11"/>
    <sheet name="November" sheetId="28" r:id="rId12"/>
    <sheet name="December" sheetId="29" r:id="rId13"/>
  </sheets>
  <definedNames>
    <definedName name="_xlnm._FilterDatabase" localSheetId="0" hidden="1">განმარტებები!$A$3:$B$3</definedName>
    <definedName name="_xlnm.Print_Area" localSheetId="4">April!$A$1:$F$23</definedName>
    <definedName name="_xlnm.Print_Area" localSheetId="8">August!$A$1:$F$23</definedName>
    <definedName name="_xlnm.Print_Area" localSheetId="12">December!$A$1:$F$23</definedName>
    <definedName name="_xlnm.Print_Area" localSheetId="2">February!$A$1:$F$23</definedName>
    <definedName name="_xlnm.Print_Area" localSheetId="1">January!$A$1:$F$23</definedName>
    <definedName name="_xlnm.Print_Area" localSheetId="7">July!$A$1:$F$23</definedName>
    <definedName name="_xlnm.Print_Area" localSheetId="6">June!$A$1:$F$23</definedName>
    <definedName name="_xlnm.Print_Area" localSheetId="3">March!$A$1:$F$23</definedName>
    <definedName name="_xlnm.Print_Area" localSheetId="5">May!$A$1:$F$23</definedName>
    <definedName name="_xlnm.Print_Area" localSheetId="11">November!$A$1:$F$23</definedName>
    <definedName name="_xlnm.Print_Area" localSheetId="10">October!$A$1:$F$23</definedName>
    <definedName name="_xlnm.Print_Area" localSheetId="9">September!$A$1:$F$23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29" l="1"/>
  <c r="E23" i="29"/>
  <c r="D23" i="29"/>
  <c r="C23" i="29"/>
  <c r="B23" i="29"/>
  <c r="B23" i="28" l="1"/>
  <c r="C23" i="28"/>
  <c r="D23" i="28"/>
  <c r="E23" i="28"/>
  <c r="F23" i="28"/>
  <c r="F23" i="27" l="1"/>
  <c r="E23" i="27"/>
  <c r="D23" i="27"/>
  <c r="C23" i="27"/>
  <c r="B23" i="27"/>
  <c r="F23" i="26" l="1"/>
  <c r="E23" i="26"/>
  <c r="D23" i="26"/>
  <c r="C23" i="26"/>
  <c r="B23" i="26"/>
  <c r="F23" i="25" l="1"/>
  <c r="E23" i="25"/>
  <c r="D23" i="25"/>
  <c r="C23" i="25"/>
  <c r="B23" i="25"/>
  <c r="F23" i="24" l="1"/>
  <c r="E23" i="24"/>
  <c r="D23" i="24"/>
  <c r="C23" i="24"/>
  <c r="B23" i="24"/>
  <c r="F23" i="23" l="1"/>
  <c r="E23" i="23"/>
  <c r="D23" i="23"/>
  <c r="C23" i="23"/>
  <c r="B23" i="23"/>
  <c r="F23" i="22" l="1"/>
  <c r="E23" i="22"/>
  <c r="D23" i="22"/>
  <c r="C23" i="22"/>
  <c r="B23" i="22"/>
  <c r="C23" i="21"/>
  <c r="D23" i="21"/>
  <c r="E23" i="21"/>
  <c r="F23" i="21"/>
  <c r="B23" i="21"/>
</calcChain>
</file>

<file path=xl/sharedStrings.xml><?xml version="1.0" encoding="utf-8"?>
<sst xmlns="http://schemas.openxmlformats.org/spreadsheetml/2006/main" count="378" uniqueCount="50">
  <si>
    <t>სულ</t>
  </si>
  <si>
    <t>სულ სუბსიდიის მიმღები</t>
  </si>
  <si>
    <t>საყოფაცხოვრებო სუბსიდიის მიმღებთა კატეგორიები</t>
  </si>
  <si>
    <t>პუნქტების განმარტებები</t>
  </si>
  <si>
    <t>ა</t>
  </si>
  <si>
    <t>ბ</t>
  </si>
  <si>
    <t>გ</t>
  </si>
  <si>
    <t>დ</t>
  </si>
  <si>
    <t>ე</t>
  </si>
  <si>
    <t>ვ</t>
  </si>
  <si>
    <t>ზ</t>
  </si>
  <si>
    <t>თ</t>
  </si>
  <si>
    <t>ი</t>
  </si>
  <si>
    <t>კ</t>
  </si>
  <si>
    <t>ლ</t>
  </si>
  <si>
    <t>მ</t>
  </si>
  <si>
    <t>ნ</t>
  </si>
  <si>
    <t>ო</t>
  </si>
  <si>
    <t xml:space="preserve">სახელმწიფო სუბსიდიის მიმღებთა რაოდენობა სუბსიდიის კატეგორიის მიხედვით </t>
  </si>
  <si>
    <t>პუნქტი</t>
  </si>
  <si>
    <t>9 აპრილის დაზარალებულთა ოჯახის წევრები - 44</t>
  </si>
  <si>
    <t>9 აპრილის ინვალიდები  - 44</t>
  </si>
  <si>
    <t>9 აპრილის მონაწილე  - 22</t>
  </si>
  <si>
    <t>პოლიტ.რეპრესირებულები და მათი ოჯახის წევრები - 7</t>
  </si>
  <si>
    <t>ჩერნობილის ინვალიდები - 7</t>
  </si>
  <si>
    <t>ჩერნობილის მარჩენალდაკარგულთა ოჯახის წევრები - 7</t>
  </si>
  <si>
    <t>ჩერნობილის მონაწილე - 7</t>
  </si>
  <si>
    <t>პ</t>
  </si>
  <si>
    <t>ჟ</t>
  </si>
  <si>
    <t>რ</t>
  </si>
  <si>
    <t>ს</t>
  </si>
  <si>
    <t>ტ</t>
  </si>
  <si>
    <t>მე–4–ე მუხლის მიხედვით</t>
  </si>
  <si>
    <t>7 ლარიანი სუბსიდიის მიმღები</t>
  </si>
  <si>
    <t>22 ლარიანი სუბსიდიის მიმღები</t>
  </si>
  <si>
    <t>44ლარიანი სუბსიდიის მიმღები</t>
  </si>
  <si>
    <t>100ლარიანი სუბსიდიის მიმღები</t>
  </si>
  <si>
    <t>სსიპ სოციალური მომსახურების სააგენტო</t>
  </si>
  <si>
    <t>2008 წლის რუსეთ-საქართველოს ომის მონაწილე - 100</t>
  </si>
  <si>
    <t>2008 წლის რუსეთ-საქართველოს ომის შემდეგ გარდაც-ის მარჩენალდ - 100</t>
  </si>
  <si>
    <t>2008 წლის რუსეთ-საქართველოს ომში დაღუპულის ოჯახის წევრი - 100</t>
  </si>
  <si>
    <t>II მსოფლიო ომის მონაწილეები - 100</t>
  </si>
  <si>
    <t>II მსოფლიო ომში დაღუპულთა ქვრივები - 100</t>
  </si>
  <si>
    <t>ომის ვეტერანებთან გათანაბრებულები - 100</t>
  </si>
  <si>
    <t>ომის ინვალიდები - 100</t>
  </si>
  <si>
    <t>ომის მონაწილეები  - 100</t>
  </si>
  <si>
    <t>ომში და ომის შემ.გარ.ომის ინვ./მონწ.და სხვა ტერ.გარ.ოჯ.წ.-100</t>
  </si>
  <si>
    <t>ომში დაღუპულთა ბავშვობიდან შშმ შვილები - 100</t>
  </si>
  <si>
    <t>სამხედრო ძალთა ვეტერანები - 100</t>
  </si>
  <si>
    <t>ტერიტ.მთლ-ისავის ომში დარუპულ.ოჯახის წევრები - 100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</si>
</sst>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41" fontId="3" fillId="3" borderId="0" xfId="2" applyNumberFormat="1" applyFont="1" applyFill="1"/>
    <xf numFmtId="41" fontId="3" fillId="3" borderId="0" xfId="2" applyNumberFormat="1" applyFill="1"/>
    <xf numFmtId="41" fontId="4" fillId="3" borderId="0" xfId="2" applyNumberFormat="1" applyFont="1" applyFill="1"/>
    <xf numFmtId="41" fontId="3" fillId="3" borderId="0" xfId="2" applyNumberFormat="1" applyFill="1" applyAlignment="1"/>
    <xf numFmtId="41" fontId="0" fillId="3" borderId="0" xfId="0" applyNumberFormat="1" applyFill="1"/>
    <xf numFmtId="0" fontId="3" fillId="0" borderId="0" xfId="2"/>
    <xf numFmtId="41" fontId="2" fillId="4" borderId="0" xfId="1" applyNumberFormat="1" applyFont="1" applyFill="1" applyBorder="1" applyAlignment="1">
      <alignment horizontal="center" vertical="center" wrapText="1"/>
    </xf>
    <xf numFmtId="41" fontId="2" fillId="4" borderId="0" xfId="1" applyNumberFormat="1" applyFont="1" applyFill="1" applyBorder="1" applyAlignment="1"/>
    <xf numFmtId="41" fontId="2" fillId="4" borderId="0" xfId="1" applyNumberFormat="1" applyFont="1" applyFill="1" applyBorder="1" applyAlignment="1">
      <alignment horizontal="right"/>
    </xf>
    <xf numFmtId="41" fontId="2" fillId="4" borderId="2" xfId="1" applyNumberFormat="1" applyFont="1" applyFill="1" applyBorder="1" applyAlignment="1">
      <alignment horizontal="left" vertical="center" wrapText="1"/>
    </xf>
    <xf numFmtId="41" fontId="2" fillId="4" borderId="2" xfId="1" applyNumberFormat="1" applyFont="1" applyFill="1" applyBorder="1" applyAlignment="1">
      <alignment horizontal="center" vertical="center" wrapText="1"/>
    </xf>
    <xf numFmtId="41" fontId="2" fillId="4" borderId="3" xfId="1" applyNumberFormat="1" applyFont="1" applyFill="1" applyBorder="1" applyAlignment="1"/>
    <xf numFmtId="41" fontId="2" fillId="4" borderId="0" xfId="1" applyNumberFormat="1" applyFont="1" applyFill="1" applyBorder="1" applyAlignment="1">
      <alignment horizontal="center" vertical="center"/>
    </xf>
    <xf numFmtId="41" fontId="5" fillId="5" borderId="2" xfId="0" applyNumberFormat="1" applyFont="1" applyFill="1" applyBorder="1" applyAlignment="1">
      <alignment horizontal="centerContinuous" vertical="center" wrapText="1"/>
    </xf>
    <xf numFmtId="41" fontId="2" fillId="4" borderId="0" xfId="1" applyNumberFormat="1" applyFont="1" applyFill="1"/>
    <xf numFmtId="41" fontId="2" fillId="4" borderId="0" xfId="1" applyNumberFormat="1" applyFont="1" applyFill="1" applyAlignment="1">
      <alignment horizontal="right"/>
    </xf>
    <xf numFmtId="41" fontId="2" fillId="4" borderId="3" xfId="1" applyNumberFormat="1" applyFont="1" applyFill="1" applyBorder="1"/>
    <xf numFmtId="41" fontId="5" fillId="5" borderId="1" xfId="2" applyNumberFormat="1" applyFont="1" applyFill="1" applyBorder="1" applyAlignment="1">
      <alignment horizontal="center" vertical="center"/>
    </xf>
    <xf numFmtId="41" fontId="5" fillId="5" borderId="2" xfId="2" applyNumberFormat="1" applyFont="1" applyFill="1" applyBorder="1" applyAlignment="1">
      <alignment horizontal="center" vertical="center"/>
    </xf>
    <xf numFmtId="41" fontId="5" fillId="5" borderId="1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0</xdr:row>
      <xdr:rowOff>66675</xdr:rowOff>
    </xdr:from>
    <xdr:to>
      <xdr:col>0</xdr:col>
      <xdr:colOff>809625</xdr:colOff>
      <xdr:row>0</xdr:row>
      <xdr:rowOff>819150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667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123825</xdr:rowOff>
    </xdr:from>
    <xdr:to>
      <xdr:col>0</xdr:col>
      <xdr:colOff>695325</xdr:colOff>
      <xdr:row>0</xdr:row>
      <xdr:rowOff>876300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840FCFD3-AB0D-477B-B973-799F8C1BCC0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66675</xdr:rowOff>
    </xdr:from>
    <xdr:to>
      <xdr:col>0</xdr:col>
      <xdr:colOff>1190625</xdr:colOff>
      <xdr:row>0</xdr:row>
      <xdr:rowOff>819150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showGridLines="0" view="pageBreakPreview" topLeftCell="A16" zoomScaleSheetLayoutView="100" workbookViewId="0">
      <selection sqref="A1:XFD1048576"/>
    </sheetView>
  </sheetViews>
  <sheetFormatPr defaultRowHeight="12.75"/>
  <cols>
    <col min="1" max="1" width="26" style="7" customWidth="1"/>
    <col min="2" max="2" width="81.28515625" style="7" customWidth="1"/>
    <col min="3" max="256" width="9.140625" style="7"/>
    <col min="257" max="257" width="23.140625" style="7" customWidth="1"/>
    <col min="258" max="258" width="183.42578125" style="7" customWidth="1"/>
    <col min="259" max="512" width="9.140625" style="7"/>
    <col min="513" max="513" width="23.140625" style="7" customWidth="1"/>
    <col min="514" max="514" width="183.42578125" style="7" customWidth="1"/>
    <col min="515" max="768" width="9.140625" style="7"/>
    <col min="769" max="769" width="23.140625" style="7" customWidth="1"/>
    <col min="770" max="770" width="183.42578125" style="7" customWidth="1"/>
    <col min="771" max="1024" width="9.140625" style="7"/>
    <col min="1025" max="1025" width="23.140625" style="7" customWidth="1"/>
    <col min="1026" max="1026" width="183.42578125" style="7" customWidth="1"/>
    <col min="1027" max="1280" width="9.140625" style="7"/>
    <col min="1281" max="1281" width="23.140625" style="7" customWidth="1"/>
    <col min="1282" max="1282" width="183.42578125" style="7" customWidth="1"/>
    <col min="1283" max="1536" width="9.140625" style="7"/>
    <col min="1537" max="1537" width="23.140625" style="7" customWidth="1"/>
    <col min="1538" max="1538" width="183.42578125" style="7" customWidth="1"/>
    <col min="1539" max="1792" width="9.140625" style="7"/>
    <col min="1793" max="1793" width="23.140625" style="7" customWidth="1"/>
    <col min="1794" max="1794" width="183.42578125" style="7" customWidth="1"/>
    <col min="1795" max="2048" width="9.140625" style="7"/>
    <col min="2049" max="2049" width="23.140625" style="7" customWidth="1"/>
    <col min="2050" max="2050" width="183.42578125" style="7" customWidth="1"/>
    <col min="2051" max="2304" width="9.140625" style="7"/>
    <col min="2305" max="2305" width="23.140625" style="7" customWidth="1"/>
    <col min="2306" max="2306" width="183.42578125" style="7" customWidth="1"/>
    <col min="2307" max="2560" width="9.140625" style="7"/>
    <col min="2561" max="2561" width="23.140625" style="7" customWidth="1"/>
    <col min="2562" max="2562" width="183.42578125" style="7" customWidth="1"/>
    <col min="2563" max="2816" width="9.140625" style="7"/>
    <col min="2817" max="2817" width="23.140625" style="7" customWidth="1"/>
    <col min="2818" max="2818" width="183.42578125" style="7" customWidth="1"/>
    <col min="2819" max="3072" width="9.140625" style="7"/>
    <col min="3073" max="3073" width="23.140625" style="7" customWidth="1"/>
    <col min="3074" max="3074" width="183.42578125" style="7" customWidth="1"/>
    <col min="3075" max="3328" width="9.140625" style="7"/>
    <col min="3329" max="3329" width="23.140625" style="7" customWidth="1"/>
    <col min="3330" max="3330" width="183.42578125" style="7" customWidth="1"/>
    <col min="3331" max="3584" width="9.140625" style="7"/>
    <col min="3585" max="3585" width="23.140625" style="7" customWidth="1"/>
    <col min="3586" max="3586" width="183.42578125" style="7" customWidth="1"/>
    <col min="3587" max="3840" width="9.140625" style="7"/>
    <col min="3841" max="3841" width="23.140625" style="7" customWidth="1"/>
    <col min="3842" max="3842" width="183.42578125" style="7" customWidth="1"/>
    <col min="3843" max="4096" width="9.140625" style="7"/>
    <col min="4097" max="4097" width="23.140625" style="7" customWidth="1"/>
    <col min="4098" max="4098" width="183.42578125" style="7" customWidth="1"/>
    <col min="4099" max="4352" width="9.140625" style="7"/>
    <col min="4353" max="4353" width="23.140625" style="7" customWidth="1"/>
    <col min="4354" max="4354" width="183.42578125" style="7" customWidth="1"/>
    <col min="4355" max="4608" width="9.140625" style="7"/>
    <col min="4609" max="4609" width="23.140625" style="7" customWidth="1"/>
    <col min="4610" max="4610" width="183.42578125" style="7" customWidth="1"/>
    <col min="4611" max="4864" width="9.140625" style="7"/>
    <col min="4865" max="4865" width="23.140625" style="7" customWidth="1"/>
    <col min="4866" max="4866" width="183.42578125" style="7" customWidth="1"/>
    <col min="4867" max="5120" width="9.140625" style="7"/>
    <col min="5121" max="5121" width="23.140625" style="7" customWidth="1"/>
    <col min="5122" max="5122" width="183.42578125" style="7" customWidth="1"/>
    <col min="5123" max="5376" width="9.140625" style="7"/>
    <col min="5377" max="5377" width="23.140625" style="7" customWidth="1"/>
    <col min="5378" max="5378" width="183.42578125" style="7" customWidth="1"/>
    <col min="5379" max="5632" width="9.140625" style="7"/>
    <col min="5633" max="5633" width="23.140625" style="7" customWidth="1"/>
    <col min="5634" max="5634" width="183.42578125" style="7" customWidth="1"/>
    <col min="5635" max="5888" width="9.140625" style="7"/>
    <col min="5889" max="5889" width="23.140625" style="7" customWidth="1"/>
    <col min="5890" max="5890" width="183.42578125" style="7" customWidth="1"/>
    <col min="5891" max="6144" width="9.140625" style="7"/>
    <col min="6145" max="6145" width="23.140625" style="7" customWidth="1"/>
    <col min="6146" max="6146" width="183.42578125" style="7" customWidth="1"/>
    <col min="6147" max="6400" width="9.140625" style="7"/>
    <col min="6401" max="6401" width="23.140625" style="7" customWidth="1"/>
    <col min="6402" max="6402" width="183.42578125" style="7" customWidth="1"/>
    <col min="6403" max="6656" width="9.140625" style="7"/>
    <col min="6657" max="6657" width="23.140625" style="7" customWidth="1"/>
    <col min="6658" max="6658" width="183.42578125" style="7" customWidth="1"/>
    <col min="6659" max="6912" width="9.140625" style="7"/>
    <col min="6913" max="6913" width="23.140625" style="7" customWidth="1"/>
    <col min="6914" max="6914" width="183.42578125" style="7" customWidth="1"/>
    <col min="6915" max="7168" width="9.140625" style="7"/>
    <col min="7169" max="7169" width="23.140625" style="7" customWidth="1"/>
    <col min="7170" max="7170" width="183.42578125" style="7" customWidth="1"/>
    <col min="7171" max="7424" width="9.140625" style="7"/>
    <col min="7425" max="7425" width="23.140625" style="7" customWidth="1"/>
    <col min="7426" max="7426" width="183.42578125" style="7" customWidth="1"/>
    <col min="7427" max="7680" width="9.140625" style="7"/>
    <col min="7681" max="7681" width="23.140625" style="7" customWidth="1"/>
    <col min="7682" max="7682" width="183.42578125" style="7" customWidth="1"/>
    <col min="7683" max="7936" width="9.140625" style="7"/>
    <col min="7937" max="7937" width="23.140625" style="7" customWidth="1"/>
    <col min="7938" max="7938" width="183.42578125" style="7" customWidth="1"/>
    <col min="7939" max="8192" width="9.140625" style="7"/>
    <col min="8193" max="8193" width="23.140625" style="7" customWidth="1"/>
    <col min="8194" max="8194" width="183.42578125" style="7" customWidth="1"/>
    <col min="8195" max="8448" width="9.140625" style="7"/>
    <col min="8449" max="8449" width="23.140625" style="7" customWidth="1"/>
    <col min="8450" max="8450" width="183.42578125" style="7" customWidth="1"/>
    <col min="8451" max="8704" width="9.140625" style="7"/>
    <col min="8705" max="8705" width="23.140625" style="7" customWidth="1"/>
    <col min="8706" max="8706" width="183.42578125" style="7" customWidth="1"/>
    <col min="8707" max="8960" width="9.140625" style="7"/>
    <col min="8961" max="8961" width="23.140625" style="7" customWidth="1"/>
    <col min="8962" max="8962" width="183.42578125" style="7" customWidth="1"/>
    <col min="8963" max="9216" width="9.140625" style="7"/>
    <col min="9217" max="9217" width="23.140625" style="7" customWidth="1"/>
    <col min="9218" max="9218" width="183.42578125" style="7" customWidth="1"/>
    <col min="9219" max="9472" width="9.140625" style="7"/>
    <col min="9473" max="9473" width="23.140625" style="7" customWidth="1"/>
    <col min="9474" max="9474" width="183.42578125" style="7" customWidth="1"/>
    <col min="9475" max="9728" width="9.140625" style="7"/>
    <col min="9729" max="9729" width="23.140625" style="7" customWidth="1"/>
    <col min="9730" max="9730" width="183.42578125" style="7" customWidth="1"/>
    <col min="9731" max="9984" width="9.140625" style="7"/>
    <col min="9985" max="9985" width="23.140625" style="7" customWidth="1"/>
    <col min="9986" max="9986" width="183.42578125" style="7" customWidth="1"/>
    <col min="9987" max="10240" width="9.140625" style="7"/>
    <col min="10241" max="10241" width="23.140625" style="7" customWidth="1"/>
    <col min="10242" max="10242" width="183.42578125" style="7" customWidth="1"/>
    <col min="10243" max="10496" width="9.140625" style="7"/>
    <col min="10497" max="10497" width="23.140625" style="7" customWidth="1"/>
    <col min="10498" max="10498" width="183.42578125" style="7" customWidth="1"/>
    <col min="10499" max="10752" width="9.140625" style="7"/>
    <col min="10753" max="10753" width="23.140625" style="7" customWidth="1"/>
    <col min="10754" max="10754" width="183.42578125" style="7" customWidth="1"/>
    <col min="10755" max="11008" width="9.140625" style="7"/>
    <col min="11009" max="11009" width="23.140625" style="7" customWidth="1"/>
    <col min="11010" max="11010" width="183.42578125" style="7" customWidth="1"/>
    <col min="11011" max="11264" width="9.140625" style="7"/>
    <col min="11265" max="11265" width="23.140625" style="7" customWidth="1"/>
    <col min="11266" max="11266" width="183.42578125" style="7" customWidth="1"/>
    <col min="11267" max="11520" width="9.140625" style="7"/>
    <col min="11521" max="11521" width="23.140625" style="7" customWidth="1"/>
    <col min="11522" max="11522" width="183.42578125" style="7" customWidth="1"/>
    <col min="11523" max="11776" width="9.140625" style="7"/>
    <col min="11777" max="11777" width="23.140625" style="7" customWidth="1"/>
    <col min="11778" max="11778" width="183.42578125" style="7" customWidth="1"/>
    <col min="11779" max="12032" width="9.140625" style="7"/>
    <col min="12033" max="12033" width="23.140625" style="7" customWidth="1"/>
    <col min="12034" max="12034" width="183.42578125" style="7" customWidth="1"/>
    <col min="12035" max="12288" width="9.140625" style="7"/>
    <col min="12289" max="12289" width="23.140625" style="7" customWidth="1"/>
    <col min="12290" max="12290" width="183.42578125" style="7" customWidth="1"/>
    <col min="12291" max="12544" width="9.140625" style="7"/>
    <col min="12545" max="12545" width="23.140625" style="7" customWidth="1"/>
    <col min="12546" max="12546" width="183.42578125" style="7" customWidth="1"/>
    <col min="12547" max="12800" width="9.140625" style="7"/>
    <col min="12801" max="12801" width="23.140625" style="7" customWidth="1"/>
    <col min="12802" max="12802" width="183.42578125" style="7" customWidth="1"/>
    <col min="12803" max="13056" width="9.140625" style="7"/>
    <col min="13057" max="13057" width="23.140625" style="7" customWidth="1"/>
    <col min="13058" max="13058" width="183.42578125" style="7" customWidth="1"/>
    <col min="13059" max="13312" width="9.140625" style="7"/>
    <col min="13313" max="13313" width="23.140625" style="7" customWidth="1"/>
    <col min="13314" max="13314" width="183.42578125" style="7" customWidth="1"/>
    <col min="13315" max="13568" width="9.140625" style="7"/>
    <col min="13569" max="13569" width="23.140625" style="7" customWidth="1"/>
    <col min="13570" max="13570" width="183.42578125" style="7" customWidth="1"/>
    <col min="13571" max="13824" width="9.140625" style="7"/>
    <col min="13825" max="13825" width="23.140625" style="7" customWidth="1"/>
    <col min="13826" max="13826" width="183.42578125" style="7" customWidth="1"/>
    <col min="13827" max="14080" width="9.140625" style="7"/>
    <col min="14081" max="14081" width="23.140625" style="7" customWidth="1"/>
    <col min="14082" max="14082" width="183.42578125" style="7" customWidth="1"/>
    <col min="14083" max="14336" width="9.140625" style="7"/>
    <col min="14337" max="14337" width="23.140625" style="7" customWidth="1"/>
    <col min="14338" max="14338" width="183.42578125" style="7" customWidth="1"/>
    <col min="14339" max="14592" width="9.140625" style="7"/>
    <col min="14593" max="14593" width="23.140625" style="7" customWidth="1"/>
    <col min="14594" max="14594" width="183.42578125" style="7" customWidth="1"/>
    <col min="14595" max="14848" width="9.140625" style="7"/>
    <col min="14849" max="14849" width="23.140625" style="7" customWidth="1"/>
    <col min="14850" max="14850" width="183.42578125" style="7" customWidth="1"/>
    <col min="14851" max="15104" width="9.140625" style="7"/>
    <col min="15105" max="15105" width="23.140625" style="7" customWidth="1"/>
    <col min="15106" max="15106" width="183.42578125" style="7" customWidth="1"/>
    <col min="15107" max="15360" width="9.140625" style="7"/>
    <col min="15361" max="15361" width="23.140625" style="7" customWidth="1"/>
    <col min="15362" max="15362" width="183.42578125" style="7" customWidth="1"/>
    <col min="15363" max="15616" width="9.140625" style="7"/>
    <col min="15617" max="15617" width="23.140625" style="7" customWidth="1"/>
    <col min="15618" max="15618" width="183.42578125" style="7" customWidth="1"/>
    <col min="15619" max="15872" width="9.140625" style="7"/>
    <col min="15873" max="15873" width="23.140625" style="7" customWidth="1"/>
    <col min="15874" max="15874" width="183.42578125" style="7" customWidth="1"/>
    <col min="15875" max="16128" width="9.140625" style="7"/>
    <col min="16129" max="16129" width="23.140625" style="7" customWidth="1"/>
    <col min="16130" max="16130" width="183.42578125" style="7" customWidth="1"/>
    <col min="16131" max="16384" width="9.140625" style="7"/>
  </cols>
  <sheetData>
    <row r="1" spans="1:2" ht="80.25" customHeight="1">
      <c r="A1" s="19" t="s">
        <v>37</v>
      </c>
      <c r="B1" s="19"/>
    </row>
    <row r="2" spans="1:2" ht="16.5" customHeight="1">
      <c r="A2" s="20" t="s">
        <v>2</v>
      </c>
      <c r="B2" s="20"/>
    </row>
    <row r="3" spans="1:2" ht="72.75" customHeight="1">
      <c r="A3" s="12" t="s">
        <v>19</v>
      </c>
      <c r="B3" s="12" t="s">
        <v>3</v>
      </c>
    </row>
    <row r="4" spans="1:2" ht="29.25" customHeight="1">
      <c r="A4" s="14" t="s">
        <v>4</v>
      </c>
      <c r="B4" s="8" t="s">
        <v>38</v>
      </c>
    </row>
    <row r="5" spans="1:2" ht="29.25" customHeight="1">
      <c r="A5" s="14" t="s">
        <v>5</v>
      </c>
      <c r="B5" s="8" t="s">
        <v>39</v>
      </c>
    </row>
    <row r="6" spans="1:2" ht="32.25" customHeight="1">
      <c r="A6" s="14" t="s">
        <v>6</v>
      </c>
      <c r="B6" s="8" t="s">
        <v>40</v>
      </c>
    </row>
    <row r="7" spans="1:2" ht="29.25" customHeight="1">
      <c r="A7" s="14" t="s">
        <v>7</v>
      </c>
      <c r="B7" s="8" t="s">
        <v>20</v>
      </c>
    </row>
    <row r="8" spans="1:2" ht="29.25" customHeight="1">
      <c r="A8" s="14" t="s">
        <v>8</v>
      </c>
      <c r="B8" s="8" t="s">
        <v>21</v>
      </c>
    </row>
    <row r="9" spans="1:2" ht="29.25" customHeight="1">
      <c r="A9" s="14" t="s">
        <v>9</v>
      </c>
      <c r="B9" s="8" t="s">
        <v>22</v>
      </c>
    </row>
    <row r="10" spans="1:2" ht="29.25" customHeight="1">
      <c r="A10" s="14" t="s">
        <v>10</v>
      </c>
      <c r="B10" s="8" t="s">
        <v>41</v>
      </c>
    </row>
    <row r="11" spans="1:2" ht="29.25" customHeight="1">
      <c r="A11" s="14" t="s">
        <v>11</v>
      </c>
      <c r="B11" s="8" t="s">
        <v>42</v>
      </c>
    </row>
    <row r="12" spans="1:2" ht="29.25" customHeight="1">
      <c r="A12" s="14" t="s">
        <v>12</v>
      </c>
      <c r="B12" s="8" t="s">
        <v>43</v>
      </c>
    </row>
    <row r="13" spans="1:2" ht="29.25" customHeight="1">
      <c r="A13" s="14" t="s">
        <v>13</v>
      </c>
      <c r="B13" s="8" t="s">
        <v>44</v>
      </c>
    </row>
    <row r="14" spans="1:2" ht="29.25" customHeight="1">
      <c r="A14" s="14" t="s">
        <v>14</v>
      </c>
      <c r="B14" s="8" t="s">
        <v>45</v>
      </c>
    </row>
    <row r="15" spans="1:2" ht="29.25" customHeight="1">
      <c r="A15" s="14" t="s">
        <v>15</v>
      </c>
      <c r="B15" s="8" t="s">
        <v>46</v>
      </c>
    </row>
    <row r="16" spans="1:2" ht="29.25" customHeight="1">
      <c r="A16" s="14" t="s">
        <v>16</v>
      </c>
      <c r="B16" s="8" t="s">
        <v>47</v>
      </c>
    </row>
    <row r="17" spans="1:2" ht="29.25" customHeight="1">
      <c r="A17" s="14" t="s">
        <v>17</v>
      </c>
      <c r="B17" s="8" t="s">
        <v>23</v>
      </c>
    </row>
    <row r="18" spans="1:2" ht="29.25" customHeight="1">
      <c r="A18" s="14" t="s">
        <v>27</v>
      </c>
      <c r="B18" s="8" t="s">
        <v>48</v>
      </c>
    </row>
    <row r="19" spans="1:2" ht="29.25" customHeight="1">
      <c r="A19" s="14" t="s">
        <v>28</v>
      </c>
      <c r="B19" s="8" t="s">
        <v>49</v>
      </c>
    </row>
    <row r="20" spans="1:2" ht="29.25" customHeight="1">
      <c r="A20" s="14" t="s">
        <v>29</v>
      </c>
      <c r="B20" s="8" t="s">
        <v>24</v>
      </c>
    </row>
    <row r="21" spans="1:2" ht="31.5" customHeight="1">
      <c r="A21" s="14" t="s">
        <v>30</v>
      </c>
      <c r="B21" s="8" t="s">
        <v>25</v>
      </c>
    </row>
    <row r="22" spans="1:2" ht="31.5" customHeight="1">
      <c r="A22" s="14" t="s">
        <v>31</v>
      </c>
      <c r="B22" s="8" t="s">
        <v>26</v>
      </c>
    </row>
  </sheetData>
  <autoFilter ref="A3:B3"/>
  <mergeCells count="2">
    <mergeCell ref="A1:B1"/>
    <mergeCell ref="A2:B2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H4" sqref="H4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75</v>
      </c>
      <c r="F4" s="10">
        <v>75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68</v>
      </c>
      <c r="F5" s="10">
        <v>68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61</v>
      </c>
      <c r="F6" s="10">
        <v>61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110</v>
      </c>
      <c r="D9" s="10">
        <v>0</v>
      </c>
      <c r="E9" s="10">
        <v>0</v>
      </c>
      <c r="F9" s="10">
        <v>110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66</v>
      </c>
      <c r="F10" s="10">
        <v>66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102</v>
      </c>
      <c r="F11" s="10">
        <v>102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583</v>
      </c>
      <c r="F12" s="10">
        <v>583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215</v>
      </c>
      <c r="F13" s="10">
        <v>215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4938</v>
      </c>
      <c r="F14" s="10">
        <v>4938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4531</v>
      </c>
      <c r="F15" s="10">
        <v>4531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145</v>
      </c>
      <c r="F16" s="10">
        <v>145</v>
      </c>
    </row>
    <row r="17" spans="1:6" ht="14.25" customHeight="1">
      <c r="A17" s="9" t="s">
        <v>17</v>
      </c>
      <c r="B17" s="10">
        <v>8048</v>
      </c>
      <c r="C17" s="10">
        <v>0</v>
      </c>
      <c r="D17" s="10">
        <v>0</v>
      </c>
      <c r="E17" s="10">
        <v>0</v>
      </c>
      <c r="F17" s="10">
        <v>8048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400</v>
      </c>
      <c r="F18" s="10">
        <v>400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1259</v>
      </c>
      <c r="F19" s="10">
        <v>1259</v>
      </c>
    </row>
    <row r="20" spans="1:6" s="6" customFormat="1" ht="15">
      <c r="A20" s="9" t="s">
        <v>29</v>
      </c>
      <c r="B20" s="10">
        <v>179</v>
      </c>
      <c r="C20" s="10">
        <v>0</v>
      </c>
      <c r="D20" s="10">
        <v>0</v>
      </c>
      <c r="E20" s="10">
        <v>0</v>
      </c>
      <c r="F20" s="10">
        <v>179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v>8258</v>
      </c>
      <c r="C23" s="13">
        <v>110</v>
      </c>
      <c r="D23" s="13">
        <v>71</v>
      </c>
      <c r="E23" s="13">
        <v>12443</v>
      </c>
      <c r="F23" s="13">
        <v>20882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I3" sqref="I3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78</v>
      </c>
      <c r="F4" s="10">
        <v>78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68</v>
      </c>
      <c r="F5" s="10">
        <v>68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61</v>
      </c>
      <c r="F6" s="10">
        <v>61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109</v>
      </c>
      <c r="D9" s="10">
        <v>0</v>
      </c>
      <c r="E9" s="10">
        <v>0</v>
      </c>
      <c r="F9" s="10">
        <v>109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61</v>
      </c>
      <c r="F10" s="10">
        <v>61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103</v>
      </c>
      <c r="F11" s="10">
        <v>103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578</v>
      </c>
      <c r="F12" s="10">
        <v>578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217</v>
      </c>
      <c r="F13" s="10">
        <v>217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4984</v>
      </c>
      <c r="F14" s="10">
        <v>4984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4525</v>
      </c>
      <c r="F15" s="10">
        <v>4525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141</v>
      </c>
      <c r="F16" s="10">
        <v>141</v>
      </c>
    </row>
    <row r="17" spans="1:6" ht="14.25" customHeight="1">
      <c r="A17" s="9" t="s">
        <v>17</v>
      </c>
      <c r="B17" s="10">
        <v>8007</v>
      </c>
      <c r="C17" s="10">
        <v>0</v>
      </c>
      <c r="D17" s="10">
        <v>0</v>
      </c>
      <c r="E17" s="10">
        <v>0</v>
      </c>
      <c r="F17" s="10">
        <v>8007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396</v>
      </c>
      <c r="F18" s="10">
        <v>396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1255</v>
      </c>
      <c r="F19" s="10">
        <v>1255</v>
      </c>
    </row>
    <row r="20" spans="1:6" s="6" customFormat="1" ht="15">
      <c r="A20" s="9" t="s">
        <v>29</v>
      </c>
      <c r="B20" s="10">
        <v>178</v>
      </c>
      <c r="C20" s="10">
        <v>0</v>
      </c>
      <c r="D20" s="10">
        <v>0</v>
      </c>
      <c r="E20" s="10">
        <v>0</v>
      </c>
      <c r="F20" s="10">
        <v>178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v>8216</v>
      </c>
      <c r="C23" s="13">
        <v>109</v>
      </c>
      <c r="D23" s="13">
        <v>71</v>
      </c>
      <c r="E23" s="13">
        <v>12467</v>
      </c>
      <c r="F23" s="13">
        <v>20863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4" zoomScaleSheetLayoutView="100" workbookViewId="0">
      <selection activeCell="G3" sqref="G3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81</v>
      </c>
      <c r="F4" s="10">
        <v>81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68</v>
      </c>
      <c r="F5" s="10">
        <v>68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61</v>
      </c>
      <c r="F6" s="10">
        <v>61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111</v>
      </c>
      <c r="D9" s="10">
        <v>0</v>
      </c>
      <c r="E9" s="10">
        <v>0</v>
      </c>
      <c r="F9" s="10">
        <v>111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58</v>
      </c>
      <c r="F10" s="10">
        <v>58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101</v>
      </c>
      <c r="F11" s="10">
        <v>101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555</v>
      </c>
      <c r="F12" s="10">
        <v>555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221</v>
      </c>
      <c r="F13" s="10">
        <v>221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5027</v>
      </c>
      <c r="F14" s="10">
        <v>5027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4529</v>
      </c>
      <c r="F15" s="10">
        <v>4529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139</v>
      </c>
      <c r="F16" s="10">
        <v>139</v>
      </c>
    </row>
    <row r="17" spans="1:6" ht="14.25" customHeight="1">
      <c r="A17" s="9" t="s">
        <v>17</v>
      </c>
      <c r="B17" s="10">
        <v>7953</v>
      </c>
      <c r="C17" s="10">
        <v>0</v>
      </c>
      <c r="D17" s="10">
        <v>0</v>
      </c>
      <c r="E17" s="10">
        <v>0</v>
      </c>
      <c r="F17" s="10">
        <v>7953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389</v>
      </c>
      <c r="F18" s="10">
        <v>389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1248</v>
      </c>
      <c r="F19" s="10">
        <v>1248</v>
      </c>
    </row>
    <row r="20" spans="1:6" s="6" customFormat="1" ht="15">
      <c r="A20" s="9" t="s">
        <v>29</v>
      </c>
      <c r="B20" s="10">
        <v>177</v>
      </c>
      <c r="C20" s="10">
        <v>0</v>
      </c>
      <c r="D20" s="10">
        <v>0</v>
      </c>
      <c r="E20" s="10">
        <v>0</v>
      </c>
      <c r="F20" s="10">
        <v>177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v>8161</v>
      </c>
      <c r="C23" s="13">
        <v>111</v>
      </c>
      <c r="D23" s="13">
        <v>71</v>
      </c>
      <c r="E23" s="13">
        <v>12477</v>
      </c>
      <c r="F23" s="13">
        <v>20820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24"/>
  <sheetViews>
    <sheetView view="pageBreakPreview" zoomScaleSheetLayoutView="100" workbookViewId="0">
      <selection activeCell="B4" sqref="B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16" t="s">
        <v>4</v>
      </c>
      <c r="B4" s="17">
        <v>0</v>
      </c>
      <c r="C4" s="17">
        <v>0</v>
      </c>
      <c r="D4" s="17">
        <v>0</v>
      </c>
      <c r="E4" s="17">
        <v>83</v>
      </c>
      <c r="F4" s="17">
        <v>83</v>
      </c>
    </row>
    <row r="5" spans="1:6" ht="13.5">
      <c r="A5" s="16" t="s">
        <v>5</v>
      </c>
      <c r="B5" s="17">
        <v>0</v>
      </c>
      <c r="C5" s="17">
        <v>0</v>
      </c>
      <c r="D5" s="17">
        <v>0</v>
      </c>
      <c r="E5" s="17">
        <v>68</v>
      </c>
      <c r="F5" s="17">
        <v>68</v>
      </c>
    </row>
    <row r="6" spans="1:6" ht="13.5">
      <c r="A6" s="16" t="s">
        <v>6</v>
      </c>
      <c r="B6" s="17">
        <v>0</v>
      </c>
      <c r="C6" s="17">
        <v>0</v>
      </c>
      <c r="D6" s="17">
        <v>0</v>
      </c>
      <c r="E6" s="17">
        <v>61</v>
      </c>
      <c r="F6" s="17">
        <v>61</v>
      </c>
    </row>
    <row r="7" spans="1:6" ht="13.5">
      <c r="A7" s="16" t="s">
        <v>7</v>
      </c>
      <c r="B7" s="17">
        <v>0</v>
      </c>
      <c r="C7" s="17">
        <v>0</v>
      </c>
      <c r="D7" s="17">
        <v>5</v>
      </c>
      <c r="E7" s="17">
        <v>0</v>
      </c>
      <c r="F7" s="17">
        <v>5</v>
      </c>
    </row>
    <row r="8" spans="1:6" ht="13.5">
      <c r="A8" s="16" t="s">
        <v>8</v>
      </c>
      <c r="B8" s="17">
        <v>0</v>
      </c>
      <c r="C8" s="17">
        <v>0</v>
      </c>
      <c r="D8" s="17">
        <v>66</v>
      </c>
      <c r="E8" s="17">
        <v>0</v>
      </c>
      <c r="F8" s="17">
        <v>66</v>
      </c>
    </row>
    <row r="9" spans="1:6" s="6" customFormat="1" ht="15">
      <c r="A9" s="16" t="s">
        <v>9</v>
      </c>
      <c r="B9" s="17">
        <v>0</v>
      </c>
      <c r="C9" s="17">
        <v>112</v>
      </c>
      <c r="D9" s="17">
        <v>0</v>
      </c>
      <c r="E9" s="17">
        <v>0</v>
      </c>
      <c r="F9" s="17">
        <v>112</v>
      </c>
    </row>
    <row r="10" spans="1:6" ht="13.5">
      <c r="A10" s="16" t="s">
        <v>10</v>
      </c>
      <c r="B10" s="17">
        <v>0</v>
      </c>
      <c r="C10" s="17">
        <v>0</v>
      </c>
      <c r="D10" s="17">
        <v>0</v>
      </c>
      <c r="E10" s="17">
        <v>58</v>
      </c>
      <c r="F10" s="17">
        <v>58</v>
      </c>
    </row>
    <row r="11" spans="1:6" ht="13.5">
      <c r="A11" s="16" t="s">
        <v>11</v>
      </c>
      <c r="B11" s="17">
        <v>0</v>
      </c>
      <c r="C11" s="17">
        <v>0</v>
      </c>
      <c r="D11" s="17">
        <v>0</v>
      </c>
      <c r="E11" s="17">
        <v>103</v>
      </c>
      <c r="F11" s="17">
        <v>103</v>
      </c>
    </row>
    <row r="12" spans="1:6" ht="13.5">
      <c r="A12" s="16" t="s">
        <v>12</v>
      </c>
      <c r="B12" s="17">
        <v>0</v>
      </c>
      <c r="C12" s="17">
        <v>0</v>
      </c>
      <c r="D12" s="17">
        <v>0</v>
      </c>
      <c r="E12" s="17">
        <v>543</v>
      </c>
      <c r="F12" s="17">
        <v>543</v>
      </c>
    </row>
    <row r="13" spans="1:6" s="6" customFormat="1" ht="15">
      <c r="A13" s="16" t="s">
        <v>13</v>
      </c>
      <c r="B13" s="17">
        <v>0</v>
      </c>
      <c r="C13" s="17">
        <v>0</v>
      </c>
      <c r="D13" s="17">
        <v>0</v>
      </c>
      <c r="E13" s="17">
        <v>223</v>
      </c>
      <c r="F13" s="17">
        <v>223</v>
      </c>
    </row>
    <row r="14" spans="1:6" s="6" customFormat="1" ht="15">
      <c r="A14" s="16" t="s">
        <v>14</v>
      </c>
      <c r="B14" s="17">
        <v>0</v>
      </c>
      <c r="C14" s="17">
        <v>0</v>
      </c>
      <c r="D14" s="17">
        <v>0</v>
      </c>
      <c r="E14" s="17">
        <v>5072</v>
      </c>
      <c r="F14" s="17">
        <v>5072</v>
      </c>
    </row>
    <row r="15" spans="1:6" ht="13.5">
      <c r="A15" s="16" t="s">
        <v>15</v>
      </c>
      <c r="B15" s="17">
        <v>0</v>
      </c>
      <c r="C15" s="17">
        <v>0</v>
      </c>
      <c r="D15" s="17">
        <v>0</v>
      </c>
      <c r="E15" s="17">
        <v>4552</v>
      </c>
      <c r="F15" s="17">
        <v>4552</v>
      </c>
    </row>
    <row r="16" spans="1:6" ht="13.5">
      <c r="A16" s="16" t="s">
        <v>16</v>
      </c>
      <c r="B16" s="17">
        <v>0</v>
      </c>
      <c r="C16" s="17">
        <v>0</v>
      </c>
      <c r="D16" s="17">
        <v>0</v>
      </c>
      <c r="E16" s="17">
        <v>139</v>
      </c>
      <c r="F16" s="17">
        <v>139</v>
      </c>
    </row>
    <row r="17" spans="1:6" ht="14.25" customHeight="1">
      <c r="A17" s="16" t="s">
        <v>17</v>
      </c>
      <c r="B17" s="17">
        <v>7904</v>
      </c>
      <c r="C17" s="17">
        <v>0</v>
      </c>
      <c r="D17" s="17">
        <v>0</v>
      </c>
      <c r="E17" s="17">
        <v>0</v>
      </c>
      <c r="F17" s="17">
        <v>7904</v>
      </c>
    </row>
    <row r="18" spans="1:6" s="6" customFormat="1" ht="15">
      <c r="A18" s="16" t="s">
        <v>27</v>
      </c>
      <c r="B18" s="17">
        <v>0</v>
      </c>
      <c r="C18" s="17">
        <v>0</v>
      </c>
      <c r="D18" s="17">
        <v>0</v>
      </c>
      <c r="E18" s="17">
        <v>390</v>
      </c>
      <c r="F18" s="17">
        <v>390</v>
      </c>
    </row>
    <row r="19" spans="1:6" ht="13.5">
      <c r="A19" s="16" t="s">
        <v>28</v>
      </c>
      <c r="B19" s="17">
        <v>0</v>
      </c>
      <c r="C19" s="17">
        <v>0</v>
      </c>
      <c r="D19" s="17">
        <v>0</v>
      </c>
      <c r="E19" s="17">
        <v>1253</v>
      </c>
      <c r="F19" s="17">
        <v>1253</v>
      </c>
    </row>
    <row r="20" spans="1:6" s="6" customFormat="1" ht="15">
      <c r="A20" s="16" t="s">
        <v>29</v>
      </c>
      <c r="B20" s="17">
        <v>176</v>
      </c>
      <c r="C20" s="17">
        <v>0</v>
      </c>
      <c r="D20" s="17">
        <v>0</v>
      </c>
      <c r="E20" s="17">
        <v>0</v>
      </c>
      <c r="F20" s="17">
        <v>176</v>
      </c>
    </row>
    <row r="21" spans="1:6" ht="13.5">
      <c r="A21" s="16" t="s">
        <v>30</v>
      </c>
      <c r="B21" s="17">
        <v>1</v>
      </c>
      <c r="C21" s="17">
        <v>0</v>
      </c>
      <c r="D21" s="17">
        <v>0</v>
      </c>
      <c r="E21" s="17">
        <v>0</v>
      </c>
      <c r="F21" s="17">
        <v>1</v>
      </c>
    </row>
    <row r="22" spans="1:6" ht="13.5">
      <c r="A22" s="16" t="s">
        <v>31</v>
      </c>
      <c r="B22" s="17">
        <v>30</v>
      </c>
      <c r="C22" s="17">
        <v>0</v>
      </c>
      <c r="D22" s="17">
        <v>0</v>
      </c>
      <c r="E22" s="17">
        <v>0</v>
      </c>
      <c r="F22" s="17">
        <v>30</v>
      </c>
    </row>
    <row r="23" spans="1:6" ht="13.5">
      <c r="A23" s="18" t="s">
        <v>0</v>
      </c>
      <c r="B23" s="18">
        <f>SUM(B4:B22)</f>
        <v>8111</v>
      </c>
      <c r="C23" s="18">
        <f t="shared" ref="C23:F23" si="0">SUM(C4:C22)</f>
        <v>112</v>
      </c>
      <c r="D23" s="18">
        <f t="shared" si="0"/>
        <v>71</v>
      </c>
      <c r="E23" s="18">
        <f t="shared" si="0"/>
        <v>12545</v>
      </c>
      <c r="F23" s="18">
        <f t="shared" si="0"/>
        <v>20839</v>
      </c>
    </row>
    <row r="24" spans="1:6" ht="15">
      <c r="B24" s="1"/>
      <c r="C24" s="1"/>
      <c r="E24" s="1"/>
      <c r="F24" s="1"/>
    </row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82</v>
      </c>
      <c r="F4" s="10">
        <v>82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69</v>
      </c>
      <c r="F5" s="10">
        <v>69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62</v>
      </c>
      <c r="F6" s="10">
        <v>62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66</v>
      </c>
      <c r="E8" s="10">
        <v>0</v>
      </c>
      <c r="F8" s="10">
        <v>66</v>
      </c>
    </row>
    <row r="9" spans="1:6" s="6" customFormat="1" ht="15">
      <c r="A9" s="9" t="s">
        <v>9</v>
      </c>
      <c r="B9" s="10">
        <v>0</v>
      </c>
      <c r="C9" s="10">
        <v>113</v>
      </c>
      <c r="D9" s="10">
        <v>0</v>
      </c>
      <c r="E9" s="10">
        <v>0</v>
      </c>
      <c r="F9" s="10">
        <v>113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57</v>
      </c>
      <c r="F10" s="10">
        <v>57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103</v>
      </c>
      <c r="F11" s="10">
        <v>103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521</v>
      </c>
      <c r="F12" s="10">
        <v>521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224</v>
      </c>
      <c r="F13" s="10">
        <v>224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5128</v>
      </c>
      <c r="F14" s="10">
        <v>5128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4572</v>
      </c>
      <c r="F15" s="10">
        <v>4572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141</v>
      </c>
      <c r="F16" s="10">
        <v>141</v>
      </c>
    </row>
    <row r="17" spans="1:6" ht="14.25" customHeight="1">
      <c r="A17" s="9" t="s">
        <v>17</v>
      </c>
      <c r="B17" s="10">
        <v>7827</v>
      </c>
      <c r="C17" s="10">
        <v>0</v>
      </c>
      <c r="D17" s="10">
        <v>0</v>
      </c>
      <c r="E17" s="10">
        <v>0</v>
      </c>
      <c r="F17" s="10">
        <v>7827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390</v>
      </c>
      <c r="F18" s="10">
        <v>390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1248</v>
      </c>
      <c r="F19" s="10">
        <v>1248</v>
      </c>
    </row>
    <row r="20" spans="1:6" s="6" customFormat="1" ht="15">
      <c r="A20" s="9" t="s">
        <v>29</v>
      </c>
      <c r="B20" s="10">
        <v>176</v>
      </c>
      <c r="C20" s="10">
        <v>0</v>
      </c>
      <c r="D20" s="10">
        <v>0</v>
      </c>
      <c r="E20" s="10">
        <v>0</v>
      </c>
      <c r="F20" s="10">
        <v>176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f>SUM(B4:B22)</f>
        <v>8034</v>
      </c>
      <c r="C23" s="13">
        <f t="shared" ref="C23:F23" si="0">SUM(C4:C22)</f>
        <v>113</v>
      </c>
      <c r="D23" s="13">
        <f t="shared" si="0"/>
        <v>71</v>
      </c>
      <c r="E23" s="13">
        <f t="shared" si="0"/>
        <v>12597</v>
      </c>
      <c r="F23" s="13">
        <f t="shared" si="0"/>
        <v>20815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D8" sqref="D8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83</v>
      </c>
      <c r="F4" s="10">
        <v>83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70</v>
      </c>
      <c r="F5" s="10">
        <v>70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63</v>
      </c>
      <c r="F6" s="10">
        <v>63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115</v>
      </c>
      <c r="D9" s="10">
        <v>0</v>
      </c>
      <c r="E9" s="10">
        <v>0</v>
      </c>
      <c r="F9" s="10">
        <v>115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55</v>
      </c>
      <c r="F10" s="10">
        <v>55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100</v>
      </c>
      <c r="F11" s="10">
        <v>100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502</v>
      </c>
      <c r="F12" s="10">
        <v>502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225</v>
      </c>
      <c r="F13" s="10">
        <v>225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5153</v>
      </c>
      <c r="F14" s="10">
        <v>5153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4611</v>
      </c>
      <c r="F15" s="10">
        <v>4611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141</v>
      </c>
      <c r="F16" s="10">
        <v>141</v>
      </c>
    </row>
    <row r="17" spans="1:6" ht="14.25" customHeight="1">
      <c r="A17" s="9" t="s">
        <v>17</v>
      </c>
      <c r="B17" s="10">
        <v>7776</v>
      </c>
      <c r="C17" s="10">
        <v>0</v>
      </c>
      <c r="D17" s="10">
        <v>0</v>
      </c>
      <c r="E17" s="10">
        <v>0</v>
      </c>
      <c r="F17" s="10">
        <v>7776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387</v>
      </c>
      <c r="F18" s="10">
        <v>387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1253</v>
      </c>
      <c r="F19" s="10">
        <v>1253</v>
      </c>
    </row>
    <row r="20" spans="1:6" s="6" customFormat="1" ht="15">
      <c r="A20" s="9" t="s">
        <v>29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f>SUM(B4:B22)</f>
        <v>7981</v>
      </c>
      <c r="C23" s="13">
        <f t="shared" ref="C23:F23" si="0">SUM(C4:C22)</f>
        <v>115</v>
      </c>
      <c r="D23" s="13">
        <f t="shared" si="0"/>
        <v>73</v>
      </c>
      <c r="E23" s="13">
        <f t="shared" si="0"/>
        <v>12643</v>
      </c>
      <c r="F23" s="13">
        <f t="shared" si="0"/>
        <v>20812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4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85</v>
      </c>
      <c r="F4" s="10">
        <v>85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71</v>
      </c>
      <c r="F5" s="10">
        <v>71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64</v>
      </c>
      <c r="F6" s="10">
        <v>64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114</v>
      </c>
      <c r="D9" s="10">
        <v>0</v>
      </c>
      <c r="E9" s="10">
        <v>0</v>
      </c>
      <c r="F9" s="10">
        <v>114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52</v>
      </c>
      <c r="F10" s="10">
        <v>52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97</v>
      </c>
      <c r="F11" s="10">
        <v>97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491</v>
      </c>
      <c r="F12" s="10">
        <v>491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226</v>
      </c>
      <c r="F13" s="10">
        <v>226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5186</v>
      </c>
      <c r="F14" s="10">
        <v>5186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4634</v>
      </c>
      <c r="F15" s="10">
        <v>4634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139</v>
      </c>
      <c r="F16" s="10">
        <v>139</v>
      </c>
    </row>
    <row r="17" spans="1:6" ht="14.25" customHeight="1">
      <c r="A17" s="9" t="s">
        <v>17</v>
      </c>
      <c r="B17" s="10">
        <v>7750</v>
      </c>
      <c r="C17" s="10">
        <v>0</v>
      </c>
      <c r="D17" s="10">
        <v>0</v>
      </c>
      <c r="E17" s="10">
        <v>0</v>
      </c>
      <c r="F17" s="10">
        <v>7750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388</v>
      </c>
      <c r="F18" s="10">
        <v>388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1251</v>
      </c>
      <c r="F19" s="10">
        <v>1251</v>
      </c>
    </row>
    <row r="20" spans="1:6" s="6" customFormat="1" ht="15">
      <c r="A20" s="9" t="s">
        <v>29</v>
      </c>
      <c r="B20" s="10">
        <v>175</v>
      </c>
      <c r="C20" s="10">
        <v>0</v>
      </c>
      <c r="D20" s="10">
        <v>0</v>
      </c>
      <c r="E20" s="10">
        <v>0</v>
      </c>
      <c r="F20" s="10">
        <v>175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f>SUM(B4:B22)</f>
        <v>7956</v>
      </c>
      <c r="C23" s="13">
        <f t="shared" ref="C23:F23" si="0">SUM(C4:C22)</f>
        <v>114</v>
      </c>
      <c r="D23" s="13">
        <f t="shared" si="0"/>
        <v>74</v>
      </c>
      <c r="E23" s="13">
        <f t="shared" si="0"/>
        <v>12684</v>
      </c>
      <c r="F23" s="13">
        <f t="shared" si="0"/>
        <v>20828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7" zoomScaleSheetLayoutView="100" workbookViewId="0">
      <selection activeCell="F23" sqref="F23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89</v>
      </c>
      <c r="F4" s="10">
        <v>89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75</v>
      </c>
      <c r="F5" s="10">
        <v>75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64</v>
      </c>
      <c r="F6" s="10">
        <v>64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114</v>
      </c>
      <c r="D9" s="10">
        <v>0</v>
      </c>
      <c r="E9" s="10">
        <v>0</v>
      </c>
      <c r="F9" s="10">
        <v>114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51</v>
      </c>
      <c r="F10" s="10">
        <v>51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98</v>
      </c>
      <c r="F11" s="10">
        <v>98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484</v>
      </c>
      <c r="F12" s="10">
        <v>484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228</v>
      </c>
      <c r="F13" s="10">
        <v>228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5224</v>
      </c>
      <c r="F14" s="10">
        <v>5224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4655</v>
      </c>
      <c r="F15" s="10">
        <v>4655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138</v>
      </c>
      <c r="F16" s="10">
        <v>138</v>
      </c>
    </row>
    <row r="17" spans="1:6" ht="14.25" customHeight="1">
      <c r="A17" s="9" t="s">
        <v>17</v>
      </c>
      <c r="B17" s="10">
        <v>7725</v>
      </c>
      <c r="C17" s="10">
        <v>0</v>
      </c>
      <c r="D17" s="10">
        <v>0</v>
      </c>
      <c r="E17" s="10">
        <v>0</v>
      </c>
      <c r="F17" s="10">
        <v>7725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388</v>
      </c>
      <c r="F18" s="10">
        <v>388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1252</v>
      </c>
      <c r="F19" s="10">
        <v>1252</v>
      </c>
    </row>
    <row r="20" spans="1:6" s="6" customFormat="1" ht="15">
      <c r="A20" s="9" t="s">
        <v>29</v>
      </c>
      <c r="B20" s="10">
        <v>170</v>
      </c>
      <c r="C20" s="10">
        <v>0</v>
      </c>
      <c r="D20" s="10">
        <v>0</v>
      </c>
      <c r="E20" s="10">
        <v>0</v>
      </c>
      <c r="F20" s="10">
        <v>170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f>SUM(B4:B22)</f>
        <v>7926</v>
      </c>
      <c r="C23" s="13">
        <f t="shared" ref="C23:F23" si="0">SUM(C4:C22)</f>
        <v>114</v>
      </c>
      <c r="D23" s="13">
        <f t="shared" si="0"/>
        <v>73</v>
      </c>
      <c r="E23" s="13">
        <f t="shared" si="0"/>
        <v>12746</v>
      </c>
      <c r="F23" s="13">
        <f t="shared" si="0"/>
        <v>20859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10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95</v>
      </c>
      <c r="F4" s="10">
        <v>95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76</v>
      </c>
      <c r="F5" s="10">
        <v>76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64</v>
      </c>
      <c r="F6" s="10">
        <v>64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114</v>
      </c>
      <c r="D9" s="10">
        <v>0</v>
      </c>
      <c r="E9" s="10">
        <v>0</v>
      </c>
      <c r="F9" s="10">
        <v>114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51</v>
      </c>
      <c r="F10" s="10">
        <v>51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96</v>
      </c>
      <c r="F11" s="10">
        <v>96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480</v>
      </c>
      <c r="F12" s="10">
        <v>480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226</v>
      </c>
      <c r="F13" s="10">
        <v>226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5257</v>
      </c>
      <c r="F14" s="10">
        <v>5257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4676</v>
      </c>
      <c r="F15" s="10">
        <v>4676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138</v>
      </c>
      <c r="F16" s="10">
        <v>138</v>
      </c>
    </row>
    <row r="17" spans="1:6" ht="14.25" customHeight="1">
      <c r="A17" s="9" t="s">
        <v>17</v>
      </c>
      <c r="B17" s="10">
        <v>7693</v>
      </c>
      <c r="C17" s="10">
        <v>0</v>
      </c>
      <c r="D17" s="10">
        <v>0</v>
      </c>
      <c r="E17" s="10">
        <v>0</v>
      </c>
      <c r="F17" s="10">
        <v>7693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390</v>
      </c>
      <c r="F18" s="10">
        <v>390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1252</v>
      </c>
      <c r="F19" s="10">
        <v>1252</v>
      </c>
    </row>
    <row r="20" spans="1:6" s="6" customFormat="1" ht="15">
      <c r="A20" s="9" t="s">
        <v>29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29</v>
      </c>
      <c r="C22" s="10">
        <v>0</v>
      </c>
      <c r="D22" s="10">
        <v>0</v>
      </c>
      <c r="E22" s="10">
        <v>0</v>
      </c>
      <c r="F22" s="10">
        <v>29</v>
      </c>
    </row>
    <row r="23" spans="1:6" ht="13.5">
      <c r="A23" s="13" t="s">
        <v>0</v>
      </c>
      <c r="B23" s="13">
        <f>SUM(B4:B22)</f>
        <v>7895</v>
      </c>
      <c r="C23" s="13">
        <f t="shared" ref="C23:F23" si="0">SUM(C4:C22)</f>
        <v>114</v>
      </c>
      <c r="D23" s="13">
        <f t="shared" si="0"/>
        <v>74</v>
      </c>
      <c r="E23" s="13">
        <f t="shared" si="0"/>
        <v>12801</v>
      </c>
      <c r="F23" s="13">
        <f t="shared" si="0"/>
        <v>20884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95</v>
      </c>
      <c r="F4" s="10">
        <v>95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78</v>
      </c>
      <c r="F5" s="10">
        <v>78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65</v>
      </c>
      <c r="F6" s="10">
        <v>65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69</v>
      </c>
      <c r="E8" s="10">
        <v>0</v>
      </c>
      <c r="F8" s="10">
        <v>69</v>
      </c>
    </row>
    <row r="9" spans="1:6" s="6" customFormat="1" ht="15">
      <c r="A9" s="9" t="s">
        <v>9</v>
      </c>
      <c r="B9" s="10">
        <v>0</v>
      </c>
      <c r="C9" s="10">
        <v>114</v>
      </c>
      <c r="D9" s="10">
        <v>0</v>
      </c>
      <c r="E9" s="10">
        <v>0</v>
      </c>
      <c r="F9" s="10">
        <v>114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49</v>
      </c>
      <c r="F10" s="10">
        <v>49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93</v>
      </c>
      <c r="F11" s="10">
        <v>93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465</v>
      </c>
      <c r="F12" s="10">
        <v>465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231</v>
      </c>
      <c r="F13" s="10">
        <v>231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5319</v>
      </c>
      <c r="F14" s="10">
        <v>5319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4685</v>
      </c>
      <c r="F15" s="10">
        <v>4685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139</v>
      </c>
      <c r="F16" s="10">
        <v>139</v>
      </c>
    </row>
    <row r="17" spans="1:6" ht="14.25" customHeight="1">
      <c r="A17" s="9" t="s">
        <v>17</v>
      </c>
      <c r="B17" s="10">
        <v>7656</v>
      </c>
      <c r="C17" s="10">
        <v>0</v>
      </c>
      <c r="D17" s="10">
        <v>0</v>
      </c>
      <c r="E17" s="10">
        <v>0</v>
      </c>
      <c r="F17" s="10">
        <v>7656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388</v>
      </c>
      <c r="F18" s="10">
        <v>388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1254</v>
      </c>
      <c r="F19" s="10">
        <v>1254</v>
      </c>
    </row>
    <row r="20" spans="1:6" s="6" customFormat="1" ht="15">
      <c r="A20" s="9" t="s">
        <v>29</v>
      </c>
      <c r="B20" s="10">
        <v>172</v>
      </c>
      <c r="C20" s="10">
        <v>0</v>
      </c>
      <c r="D20" s="10">
        <v>0</v>
      </c>
      <c r="E20" s="10">
        <v>0</v>
      </c>
      <c r="F20" s="10">
        <v>172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f>SUM(B4:B22)</f>
        <v>7859</v>
      </c>
      <c r="C23" s="13">
        <f t="shared" ref="C23:F23" si="0">SUM(C4:C22)</f>
        <v>114</v>
      </c>
      <c r="D23" s="13">
        <f t="shared" si="0"/>
        <v>74</v>
      </c>
      <c r="E23" s="13">
        <f t="shared" si="0"/>
        <v>12861</v>
      </c>
      <c r="F23" s="13">
        <f t="shared" si="0"/>
        <v>20908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view="pageBreakPreview" topLeftCell="A2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96</v>
      </c>
      <c r="F4" s="10">
        <v>96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79</v>
      </c>
      <c r="F5" s="10">
        <v>79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66</v>
      </c>
      <c r="F6" s="10">
        <v>66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113</v>
      </c>
      <c r="D9" s="10">
        <v>0</v>
      </c>
      <c r="E9" s="10">
        <v>0</v>
      </c>
      <c r="F9" s="10">
        <v>113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46</v>
      </c>
      <c r="F10" s="10">
        <v>46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91</v>
      </c>
      <c r="F11" s="10">
        <v>91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455</v>
      </c>
      <c r="F12" s="10">
        <v>455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238</v>
      </c>
      <c r="F13" s="10">
        <v>238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5353</v>
      </c>
      <c r="F14" s="10">
        <v>5353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4686</v>
      </c>
      <c r="F15" s="10">
        <v>4686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138</v>
      </c>
      <c r="F16" s="10">
        <v>138</v>
      </c>
    </row>
    <row r="17" spans="1:6" ht="14.25" customHeight="1">
      <c r="A17" s="9" t="s">
        <v>17</v>
      </c>
      <c r="B17" s="10">
        <v>7604</v>
      </c>
      <c r="C17" s="10">
        <v>0</v>
      </c>
      <c r="D17" s="10">
        <v>0</v>
      </c>
      <c r="E17" s="10">
        <v>0</v>
      </c>
      <c r="F17" s="10">
        <v>7604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389</v>
      </c>
      <c r="F18" s="10">
        <v>389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1256</v>
      </c>
      <c r="F19" s="10">
        <v>1256</v>
      </c>
    </row>
    <row r="20" spans="1:6" s="6" customFormat="1" ht="15">
      <c r="A20" s="9" t="s">
        <v>29</v>
      </c>
      <c r="B20" s="10">
        <v>173</v>
      </c>
      <c r="C20" s="10">
        <v>0</v>
      </c>
      <c r="D20" s="10">
        <v>0</v>
      </c>
      <c r="E20" s="10">
        <v>0</v>
      </c>
      <c r="F20" s="10">
        <v>173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30</v>
      </c>
      <c r="C22" s="10">
        <v>0</v>
      </c>
      <c r="D22" s="10">
        <v>0</v>
      </c>
      <c r="E22" s="10">
        <v>0</v>
      </c>
      <c r="F22" s="10">
        <v>30</v>
      </c>
    </row>
    <row r="23" spans="1:6" ht="13.5">
      <c r="A23" s="13" t="s">
        <v>0</v>
      </c>
      <c r="B23" s="13">
        <f t="shared" ref="B23:E23" si="0">SUM(B4:B22)</f>
        <v>7808</v>
      </c>
      <c r="C23" s="13">
        <f t="shared" si="0"/>
        <v>113</v>
      </c>
      <c r="D23" s="13">
        <f t="shared" si="0"/>
        <v>73</v>
      </c>
      <c r="E23" s="13">
        <f t="shared" si="0"/>
        <v>12893</v>
      </c>
      <c r="F23" s="13">
        <f>SUM(F4:F22)</f>
        <v>20887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F38"/>
  <sheetViews>
    <sheetView tabSelected="1" view="pageBreakPreview" topLeftCell="A2" zoomScaleSheetLayoutView="100" workbookViewId="0">
      <selection activeCell="A4" sqref="A4:F22"/>
    </sheetView>
  </sheetViews>
  <sheetFormatPr defaultColWidth="9.140625" defaultRowHeight="12.75"/>
  <cols>
    <col min="1" max="1" width="28" style="3" bestFit="1" customWidth="1"/>
    <col min="2" max="2" width="14.5703125" style="3" customWidth="1"/>
    <col min="3" max="3" width="16.28515625" style="3" customWidth="1"/>
    <col min="4" max="4" width="15.85546875" style="3" customWidth="1"/>
    <col min="5" max="6" width="14.5703125" style="3" customWidth="1"/>
    <col min="7" max="16384" width="9.140625" style="3"/>
  </cols>
  <sheetData>
    <row r="1" spans="1:6" ht="80.099999999999994" customHeight="1">
      <c r="A1" s="21" t="s">
        <v>37</v>
      </c>
      <c r="B1" s="21"/>
      <c r="C1" s="21"/>
      <c r="D1" s="21"/>
      <c r="E1" s="21"/>
      <c r="F1" s="21"/>
    </row>
    <row r="2" spans="1:6" s="4" customFormat="1" ht="16.5">
      <c r="A2" s="15" t="s">
        <v>18</v>
      </c>
      <c r="B2" s="15"/>
      <c r="C2" s="15"/>
      <c r="D2" s="15"/>
      <c r="E2" s="15"/>
      <c r="F2" s="15"/>
    </row>
    <row r="3" spans="1:6" s="5" customFormat="1" ht="65.25" customHeight="1">
      <c r="A3" s="11" t="s">
        <v>32</v>
      </c>
      <c r="B3" s="12" t="s">
        <v>33</v>
      </c>
      <c r="C3" s="12" t="s">
        <v>34</v>
      </c>
      <c r="D3" s="12" t="s">
        <v>35</v>
      </c>
      <c r="E3" s="12" t="s">
        <v>36</v>
      </c>
      <c r="F3" s="12" t="s">
        <v>1</v>
      </c>
    </row>
    <row r="4" spans="1:6" ht="13.5">
      <c r="A4" s="9" t="s">
        <v>4</v>
      </c>
      <c r="B4" s="10">
        <v>0</v>
      </c>
      <c r="C4" s="10">
        <v>0</v>
      </c>
      <c r="D4" s="10">
        <v>0</v>
      </c>
      <c r="E4" s="10">
        <v>97</v>
      </c>
      <c r="F4" s="10">
        <v>97</v>
      </c>
    </row>
    <row r="5" spans="1:6" ht="13.5">
      <c r="A5" s="9" t="s">
        <v>5</v>
      </c>
      <c r="B5" s="10">
        <v>0</v>
      </c>
      <c r="C5" s="10">
        <v>0</v>
      </c>
      <c r="D5" s="10">
        <v>0</v>
      </c>
      <c r="E5" s="10">
        <v>82</v>
      </c>
      <c r="F5" s="10">
        <v>82</v>
      </c>
    </row>
    <row r="6" spans="1:6" ht="13.5">
      <c r="A6" s="9" t="s">
        <v>6</v>
      </c>
      <c r="B6" s="10">
        <v>0</v>
      </c>
      <c r="C6" s="10">
        <v>0</v>
      </c>
      <c r="D6" s="10">
        <v>0</v>
      </c>
      <c r="E6" s="10">
        <v>67</v>
      </c>
      <c r="F6" s="10">
        <v>67</v>
      </c>
    </row>
    <row r="7" spans="1:6" ht="13.5">
      <c r="A7" s="9" t="s">
        <v>7</v>
      </c>
      <c r="B7" s="10">
        <v>0</v>
      </c>
      <c r="C7" s="10">
        <v>0</v>
      </c>
      <c r="D7" s="10">
        <v>5</v>
      </c>
      <c r="E7" s="10">
        <v>0</v>
      </c>
      <c r="F7" s="10">
        <v>5</v>
      </c>
    </row>
    <row r="8" spans="1:6" ht="13.5">
      <c r="A8" s="9" t="s">
        <v>8</v>
      </c>
      <c r="B8" s="10">
        <v>0</v>
      </c>
      <c r="C8" s="10">
        <v>0</v>
      </c>
      <c r="D8" s="10">
        <v>68</v>
      </c>
      <c r="E8" s="10">
        <v>0</v>
      </c>
      <c r="F8" s="10">
        <v>68</v>
      </c>
    </row>
    <row r="9" spans="1:6" s="6" customFormat="1" ht="15">
      <c r="A9" s="9" t="s">
        <v>9</v>
      </c>
      <c r="B9" s="10">
        <v>0</v>
      </c>
      <c r="C9" s="10">
        <v>117</v>
      </c>
      <c r="D9" s="10">
        <v>0</v>
      </c>
      <c r="E9" s="10">
        <v>0</v>
      </c>
      <c r="F9" s="10">
        <v>117</v>
      </c>
    </row>
    <row r="10" spans="1:6" ht="13.5">
      <c r="A10" s="9" t="s">
        <v>10</v>
      </c>
      <c r="B10" s="10">
        <v>0</v>
      </c>
      <c r="C10" s="10">
        <v>0</v>
      </c>
      <c r="D10" s="10">
        <v>0</v>
      </c>
      <c r="E10" s="10">
        <v>45</v>
      </c>
      <c r="F10" s="10">
        <v>45</v>
      </c>
    </row>
    <row r="11" spans="1:6" ht="13.5">
      <c r="A11" s="9" t="s">
        <v>11</v>
      </c>
      <c r="B11" s="10">
        <v>0</v>
      </c>
      <c r="C11" s="10">
        <v>0</v>
      </c>
      <c r="D11" s="10">
        <v>0</v>
      </c>
      <c r="E11" s="10">
        <v>89</v>
      </c>
      <c r="F11" s="10">
        <v>89</v>
      </c>
    </row>
    <row r="12" spans="1:6" ht="13.5">
      <c r="A12" s="9" t="s">
        <v>12</v>
      </c>
      <c r="B12" s="10">
        <v>0</v>
      </c>
      <c r="C12" s="10">
        <v>0</v>
      </c>
      <c r="D12" s="10">
        <v>0</v>
      </c>
      <c r="E12" s="10">
        <v>437</v>
      </c>
      <c r="F12" s="10">
        <v>437</v>
      </c>
    </row>
    <row r="13" spans="1:6" s="6" customFormat="1" ht="15">
      <c r="A13" s="9" t="s">
        <v>13</v>
      </c>
      <c r="B13" s="10">
        <v>0</v>
      </c>
      <c r="C13" s="10">
        <v>0</v>
      </c>
      <c r="D13" s="10">
        <v>0</v>
      </c>
      <c r="E13" s="10">
        <v>236</v>
      </c>
      <c r="F13" s="10">
        <v>236</v>
      </c>
    </row>
    <row r="14" spans="1:6" s="6" customFormat="1" ht="15">
      <c r="A14" s="9" t="s">
        <v>14</v>
      </c>
      <c r="B14" s="10">
        <v>0</v>
      </c>
      <c r="C14" s="10">
        <v>0</v>
      </c>
      <c r="D14" s="10">
        <v>0</v>
      </c>
      <c r="E14" s="10">
        <v>5409</v>
      </c>
      <c r="F14" s="10">
        <v>5409</v>
      </c>
    </row>
    <row r="15" spans="1:6" s="2" customFormat="1" ht="13.5">
      <c r="A15" s="9" t="s">
        <v>15</v>
      </c>
      <c r="B15" s="10">
        <v>0</v>
      </c>
      <c r="C15" s="10">
        <v>0</v>
      </c>
      <c r="D15" s="10">
        <v>0</v>
      </c>
      <c r="E15" s="10">
        <v>4723</v>
      </c>
      <c r="F15" s="10">
        <v>4723</v>
      </c>
    </row>
    <row r="16" spans="1:6" ht="13.5">
      <c r="A16" s="9" t="s">
        <v>16</v>
      </c>
      <c r="B16" s="10">
        <v>0</v>
      </c>
      <c r="C16" s="10">
        <v>0</v>
      </c>
      <c r="D16" s="10">
        <v>0</v>
      </c>
      <c r="E16" s="10">
        <v>134</v>
      </c>
      <c r="F16" s="10">
        <v>134</v>
      </c>
    </row>
    <row r="17" spans="1:6" ht="14.25" customHeight="1">
      <c r="A17" s="9" t="s">
        <v>17</v>
      </c>
      <c r="B17" s="10">
        <v>7580</v>
      </c>
      <c r="C17" s="10">
        <v>0</v>
      </c>
      <c r="D17" s="10">
        <v>0</v>
      </c>
      <c r="E17" s="10">
        <v>0</v>
      </c>
      <c r="F17" s="10">
        <v>7580</v>
      </c>
    </row>
    <row r="18" spans="1:6" s="6" customFormat="1" ht="15">
      <c r="A18" s="9" t="s">
        <v>27</v>
      </c>
      <c r="B18" s="10">
        <v>0</v>
      </c>
      <c r="C18" s="10">
        <v>0</v>
      </c>
      <c r="D18" s="10">
        <v>0</v>
      </c>
      <c r="E18" s="10">
        <v>389</v>
      </c>
      <c r="F18" s="10">
        <v>389</v>
      </c>
    </row>
    <row r="19" spans="1:6" ht="13.5">
      <c r="A19" s="9" t="s">
        <v>28</v>
      </c>
      <c r="B19" s="10">
        <v>0</v>
      </c>
      <c r="C19" s="10">
        <v>0</v>
      </c>
      <c r="D19" s="10">
        <v>0</v>
      </c>
      <c r="E19" s="10">
        <v>1255</v>
      </c>
      <c r="F19" s="10">
        <v>1255</v>
      </c>
    </row>
    <row r="20" spans="1:6" s="6" customFormat="1" ht="15">
      <c r="A20" s="9" t="s">
        <v>29</v>
      </c>
      <c r="B20" s="10">
        <v>174</v>
      </c>
      <c r="C20" s="10">
        <v>0</v>
      </c>
      <c r="D20" s="10">
        <v>0</v>
      </c>
      <c r="E20" s="10">
        <v>0</v>
      </c>
      <c r="F20" s="10">
        <v>174</v>
      </c>
    </row>
    <row r="21" spans="1:6" ht="13.5">
      <c r="A21" s="9" t="s">
        <v>30</v>
      </c>
      <c r="B21" s="10">
        <v>1</v>
      </c>
      <c r="C21" s="10">
        <v>0</v>
      </c>
      <c r="D21" s="10">
        <v>0</v>
      </c>
      <c r="E21" s="10">
        <v>0</v>
      </c>
      <c r="F21" s="10">
        <v>1</v>
      </c>
    </row>
    <row r="22" spans="1:6" ht="13.5">
      <c r="A22" s="9" t="s">
        <v>31</v>
      </c>
      <c r="B22" s="10">
        <v>31</v>
      </c>
      <c r="C22" s="10">
        <v>0</v>
      </c>
      <c r="D22" s="10">
        <v>0</v>
      </c>
      <c r="E22" s="10">
        <v>0</v>
      </c>
      <c r="F22" s="10">
        <v>31</v>
      </c>
    </row>
    <row r="23" spans="1:6" ht="13.5">
      <c r="A23" s="13" t="s">
        <v>0</v>
      </c>
      <c r="B23" s="13">
        <f t="shared" ref="B23:E23" si="0">SUM(B4:B22)</f>
        <v>7786</v>
      </c>
      <c r="C23" s="13">
        <f t="shared" si="0"/>
        <v>117</v>
      </c>
      <c r="D23" s="13">
        <f t="shared" si="0"/>
        <v>73</v>
      </c>
      <c r="E23" s="13">
        <f t="shared" si="0"/>
        <v>12963</v>
      </c>
      <c r="F23" s="13">
        <f>SUM(F4:F22)</f>
        <v>20939</v>
      </c>
    </row>
    <row r="24" spans="1:6" s="2" customFormat="1" ht="15">
      <c r="B24" s="1"/>
      <c r="C24" s="1"/>
      <c r="E24" s="1"/>
      <c r="F24" s="1"/>
    </row>
    <row r="25" spans="1:6" s="2" customFormat="1"/>
    <row r="26" spans="1:6" s="2" customFormat="1"/>
    <row r="27" spans="1:6" s="2" customFormat="1"/>
    <row r="28" spans="1:6" s="2" customFormat="1"/>
    <row r="29" spans="1:6" s="2" customFormat="1"/>
    <row r="30" spans="1:6" s="2" customFormat="1"/>
    <row r="31" spans="1:6" s="2" customFormat="1"/>
    <row r="32" spans="1:6" s="2" customForma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">
    <mergeCell ref="A1:F1"/>
  </mergeCells>
  <pageMargins left="0.75" right="0.75" top="1" bottom="1" header="0.5" footer="0.5"/>
  <pageSetup scale="44" orientation="portrait" r:id="rId1"/>
  <headerFooter alignWithMargins="0"/>
  <rowBreaks count="1" manualBreakCount="1">
    <brk id="25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განმარტებები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Giorgi Barnovi</cp:lastModifiedBy>
  <dcterms:created xsi:type="dcterms:W3CDTF">2022-08-17T12:09:20Z</dcterms:created>
  <dcterms:modified xsi:type="dcterms:W3CDTF">2023-12-28T12:34:39Z</dcterms:modified>
</cp:coreProperties>
</file>