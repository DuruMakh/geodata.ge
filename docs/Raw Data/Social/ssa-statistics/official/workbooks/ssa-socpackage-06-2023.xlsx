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2 სოც.პაკეტი\"/>
    </mc:Choice>
  </mc:AlternateContent>
  <bookViews>
    <workbookView xWindow="0" yWindow="0" windowWidth="17970" windowHeight="6135" firstSheet="1" activeTab="11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April!$A$1:$S$14</definedName>
    <definedName name="_xlnm.Print_Area" localSheetId="7">August!$A$1:$S$14</definedName>
    <definedName name="_xlnm.Print_Area" localSheetId="11">December!$A$1:$S$14</definedName>
    <definedName name="_xlnm.Print_Area" localSheetId="1">February!$A$1:$S$14</definedName>
    <definedName name="_xlnm.Print_Area" localSheetId="0">January!$A$1:$S$14</definedName>
    <definedName name="_xlnm.Print_Area" localSheetId="6">July!$A$1:$S$14</definedName>
    <definedName name="_xlnm.Print_Area" localSheetId="5">June!$A$1:$S$14</definedName>
    <definedName name="_xlnm.Print_Area" localSheetId="2">March!$A$1:$S$14</definedName>
    <definedName name="_xlnm.Print_Area" localSheetId="4">May!$A$1:$S$14</definedName>
    <definedName name="_xlnm.Print_Area" localSheetId="10">November!$A$1:$S$14</definedName>
    <definedName name="_xlnm.Print_Area" localSheetId="9">October!$A$1:$S$14</definedName>
    <definedName name="_xlnm.Print_Area" localSheetId="8">September!$A$1:$S$14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81" l="1"/>
  <c r="R13" i="81"/>
  <c r="Q13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D13" i="81"/>
  <c r="C13" i="81"/>
  <c r="B13" i="81"/>
  <c r="S13" i="80" l="1"/>
  <c r="R13" i="80"/>
  <c r="Q13" i="80"/>
  <c r="P13" i="80"/>
  <c r="O13" i="80"/>
  <c r="N13" i="80"/>
  <c r="M13" i="80"/>
  <c r="L13" i="80"/>
  <c r="K13" i="80"/>
  <c r="J13" i="80"/>
  <c r="I13" i="80"/>
  <c r="H13" i="80"/>
  <c r="G13" i="80"/>
  <c r="F13" i="80"/>
  <c r="E13" i="80"/>
  <c r="D13" i="80"/>
  <c r="C13" i="80"/>
  <c r="B13" i="80"/>
  <c r="S13" i="79" l="1"/>
  <c r="R13" i="79"/>
  <c r="Q13" i="79"/>
  <c r="P13" i="79"/>
  <c r="O13" i="79"/>
  <c r="N13" i="79"/>
  <c r="M13" i="79"/>
  <c r="L13" i="79"/>
  <c r="K13" i="79"/>
  <c r="J13" i="79"/>
  <c r="I13" i="79"/>
  <c r="H13" i="79"/>
  <c r="G13" i="79"/>
  <c r="F13" i="79"/>
  <c r="E13" i="79"/>
  <c r="D13" i="79"/>
  <c r="C13" i="79"/>
  <c r="B13" i="79"/>
  <c r="S13" i="78" l="1"/>
  <c r="R13" i="78"/>
  <c r="Q13" i="78"/>
  <c r="P13" i="78"/>
  <c r="O13" i="78"/>
  <c r="N13" i="78"/>
  <c r="M13" i="78"/>
  <c r="L13" i="78"/>
  <c r="K13" i="78"/>
  <c r="J13" i="78"/>
  <c r="I13" i="78"/>
  <c r="H13" i="78"/>
  <c r="G13" i="78"/>
  <c r="F13" i="78"/>
  <c r="E13" i="78"/>
  <c r="D13" i="78"/>
  <c r="C13" i="78"/>
  <c r="B13" i="78"/>
  <c r="S13" i="77" l="1"/>
  <c r="R13" i="77"/>
  <c r="Q13" i="77"/>
  <c r="P13" i="77"/>
  <c r="O13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B13" i="77"/>
  <c r="S13" i="76" l="1"/>
  <c r="R13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C13" i="76"/>
  <c r="B13" i="76"/>
  <c r="S13" i="75" l="1"/>
  <c r="R13" i="75"/>
  <c r="Q13" i="75"/>
  <c r="P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C13" i="75"/>
  <c r="B13" i="75"/>
  <c r="S13" i="74" l="1"/>
  <c r="R13" i="74"/>
  <c r="Q13" i="74"/>
  <c r="P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C13" i="74"/>
  <c r="B13" i="74"/>
  <c r="C13" i="73" l="1"/>
  <c r="D13" i="73"/>
  <c r="E13" i="73"/>
  <c r="F13" i="73"/>
  <c r="G13" i="73"/>
  <c r="H13" i="73"/>
  <c r="I13" i="73"/>
  <c r="J13" i="73"/>
  <c r="K13" i="73"/>
  <c r="L13" i="73"/>
  <c r="M13" i="73"/>
  <c r="N13" i="73"/>
  <c r="O13" i="73"/>
  <c r="P13" i="73"/>
  <c r="Q13" i="73"/>
  <c r="R13" i="73"/>
  <c r="S13" i="73"/>
  <c r="B13" i="73"/>
</calcChain>
</file>

<file path=xl/sharedStrings.xml><?xml version="1.0" encoding="utf-8"?>
<sst xmlns="http://schemas.openxmlformats.org/spreadsheetml/2006/main" count="444" uniqueCount="22">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</sst>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right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8" fillId="3" borderId="3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left" vertical="center" wrapText="1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5</xdr:col>
      <xdr:colOff>523875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85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U4" sqref="U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2.7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15"/>
      <c r="B3" s="32" t="s">
        <v>8</v>
      </c>
      <c r="C3" s="32"/>
      <c r="D3" s="32"/>
      <c r="E3" s="32" t="s">
        <v>9</v>
      </c>
      <c r="F3" s="32"/>
      <c r="G3" s="32"/>
      <c r="H3" s="32" t="s">
        <v>10</v>
      </c>
      <c r="I3" s="32"/>
      <c r="J3" s="32"/>
      <c r="K3" s="32" t="s">
        <v>11</v>
      </c>
      <c r="L3" s="32"/>
      <c r="M3" s="32"/>
      <c r="N3" s="32" t="s">
        <v>12</v>
      </c>
      <c r="O3" s="32"/>
      <c r="P3" s="32"/>
      <c r="Q3" s="32" t="s">
        <v>1</v>
      </c>
      <c r="R3" s="32"/>
      <c r="S3" s="32"/>
    </row>
    <row r="4" spans="1:19" s="2" customFormat="1" ht="48.75" customHeight="1">
      <c r="A4" s="10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8605</v>
      </c>
      <c r="C5" s="8">
        <v>5175</v>
      </c>
      <c r="D5" s="9">
        <v>13780</v>
      </c>
      <c r="E5" s="8">
        <v>0</v>
      </c>
      <c r="F5" s="8">
        <v>0</v>
      </c>
      <c r="G5" s="9">
        <v>0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8605</v>
      </c>
      <c r="R5" s="9">
        <v>5175</v>
      </c>
      <c r="S5" s="9">
        <v>13780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3930</v>
      </c>
      <c r="F6" s="8">
        <v>2730</v>
      </c>
      <c r="G6" s="9">
        <v>6660</v>
      </c>
      <c r="H6" s="8">
        <v>3300</v>
      </c>
      <c r="I6" s="8">
        <v>1947</v>
      </c>
      <c r="J6" s="9">
        <v>5247</v>
      </c>
      <c r="K6" s="8">
        <v>5063</v>
      </c>
      <c r="L6" s="8">
        <v>3043</v>
      </c>
      <c r="M6" s="9">
        <v>8106</v>
      </c>
      <c r="N6" s="8">
        <v>5992</v>
      </c>
      <c r="O6" s="8">
        <v>3254</v>
      </c>
      <c r="P6" s="9">
        <v>9246</v>
      </c>
      <c r="Q6" s="9">
        <v>18285</v>
      </c>
      <c r="R6" s="9">
        <v>10974</v>
      </c>
      <c r="S6" s="9">
        <v>29259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9533</v>
      </c>
      <c r="F7" s="8">
        <v>6936</v>
      </c>
      <c r="G7" s="9">
        <v>16469</v>
      </c>
      <c r="H7" s="8">
        <v>9081</v>
      </c>
      <c r="I7" s="8">
        <v>7272</v>
      </c>
      <c r="J7" s="9">
        <v>16353</v>
      </c>
      <c r="K7" s="8">
        <v>14363</v>
      </c>
      <c r="L7" s="8">
        <v>14068</v>
      </c>
      <c r="M7" s="9">
        <v>28431</v>
      </c>
      <c r="N7" s="8">
        <v>11077</v>
      </c>
      <c r="O7" s="8">
        <v>202</v>
      </c>
      <c r="P7" s="9">
        <v>11279</v>
      </c>
      <c r="Q7" s="9">
        <v>44054</v>
      </c>
      <c r="R7" s="9">
        <v>28478</v>
      </c>
      <c r="S7" s="9">
        <v>72532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1929</v>
      </c>
      <c r="F8" s="8">
        <v>1369</v>
      </c>
      <c r="G8" s="9">
        <v>3298</v>
      </c>
      <c r="H8" s="8">
        <v>1462</v>
      </c>
      <c r="I8" s="8">
        <v>842</v>
      </c>
      <c r="J8" s="9">
        <v>2304</v>
      </c>
      <c r="K8" s="8">
        <v>2279</v>
      </c>
      <c r="L8" s="8">
        <v>1307</v>
      </c>
      <c r="M8" s="9">
        <v>3586</v>
      </c>
      <c r="N8" s="8">
        <v>1291</v>
      </c>
      <c r="O8" s="8">
        <v>7</v>
      </c>
      <c r="P8" s="9">
        <v>1298</v>
      </c>
      <c r="Q8" s="9">
        <v>6961</v>
      </c>
      <c r="R8" s="9">
        <v>3525</v>
      </c>
      <c r="S8" s="9">
        <v>10486</v>
      </c>
    </row>
    <row r="9" spans="1:19" ht="13.5">
      <c r="A9" s="7" t="s">
        <v>0</v>
      </c>
      <c r="B9" s="8">
        <v>11091</v>
      </c>
      <c r="C9" s="8">
        <v>10397</v>
      </c>
      <c r="D9" s="9">
        <v>21488</v>
      </c>
      <c r="E9" s="8">
        <v>0</v>
      </c>
      <c r="F9" s="8">
        <v>0</v>
      </c>
      <c r="G9" s="9">
        <v>0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11091</v>
      </c>
      <c r="R9" s="9">
        <v>10397</v>
      </c>
      <c r="S9" s="9">
        <v>21488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1</v>
      </c>
      <c r="J10" s="9">
        <v>1</v>
      </c>
      <c r="K10" s="8">
        <v>8</v>
      </c>
      <c r="L10" s="8">
        <v>19</v>
      </c>
      <c r="M10" s="9">
        <v>27</v>
      </c>
      <c r="N10" s="8">
        <v>21</v>
      </c>
      <c r="O10" s="8">
        <v>0</v>
      </c>
      <c r="P10" s="9">
        <v>21</v>
      </c>
      <c r="Q10" s="9">
        <v>29</v>
      </c>
      <c r="R10" s="9">
        <v>20</v>
      </c>
      <c r="S10" s="9">
        <v>49</v>
      </c>
    </row>
    <row r="11" spans="1:19" ht="13.5">
      <c r="A11" s="7" t="s">
        <v>6</v>
      </c>
      <c r="B11" s="8">
        <v>43</v>
      </c>
      <c r="C11" s="8">
        <v>37</v>
      </c>
      <c r="D11" s="9">
        <v>80</v>
      </c>
      <c r="E11" s="8">
        <v>9</v>
      </c>
      <c r="F11" s="8">
        <v>3</v>
      </c>
      <c r="G11" s="9">
        <v>12</v>
      </c>
      <c r="H11" s="8">
        <v>458</v>
      </c>
      <c r="I11" s="8">
        <v>2</v>
      </c>
      <c r="J11" s="9">
        <v>460</v>
      </c>
      <c r="K11" s="8">
        <v>1885</v>
      </c>
      <c r="L11" s="8">
        <v>38</v>
      </c>
      <c r="M11" s="9">
        <v>1923</v>
      </c>
      <c r="N11" s="8">
        <v>5338</v>
      </c>
      <c r="O11" s="8">
        <v>103</v>
      </c>
      <c r="P11" s="9">
        <v>5441</v>
      </c>
      <c r="Q11" s="9">
        <v>7733</v>
      </c>
      <c r="R11" s="9">
        <v>183</v>
      </c>
      <c r="S11" s="9">
        <v>7916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5196</v>
      </c>
      <c r="F12" s="8">
        <v>23</v>
      </c>
      <c r="G12" s="9">
        <v>5219</v>
      </c>
      <c r="H12" s="8">
        <v>6719</v>
      </c>
      <c r="I12" s="8">
        <v>101</v>
      </c>
      <c r="J12" s="9">
        <v>6820</v>
      </c>
      <c r="K12" s="8">
        <v>7713</v>
      </c>
      <c r="L12" s="8">
        <v>271</v>
      </c>
      <c r="M12" s="9">
        <v>7984</v>
      </c>
      <c r="N12" s="8">
        <v>3005</v>
      </c>
      <c r="O12" s="8">
        <v>1</v>
      </c>
      <c r="P12" s="9">
        <v>3006</v>
      </c>
      <c r="Q12" s="9">
        <v>22633</v>
      </c>
      <c r="R12" s="9">
        <v>396</v>
      </c>
      <c r="S12" s="9">
        <v>23029</v>
      </c>
    </row>
    <row r="13" spans="1:19" ht="13.5">
      <c r="A13" s="7" t="s">
        <v>7</v>
      </c>
      <c r="B13" s="8">
        <v>0</v>
      </c>
      <c r="C13" s="8">
        <v>0</v>
      </c>
      <c r="D13" s="8">
        <v>0</v>
      </c>
      <c r="E13" s="8">
        <v>3</v>
      </c>
      <c r="F13" s="8">
        <v>4</v>
      </c>
      <c r="G13" s="8">
        <v>7</v>
      </c>
      <c r="H13" s="8">
        <v>9</v>
      </c>
      <c r="I13" s="8">
        <v>59</v>
      </c>
      <c r="J13" s="8">
        <v>68</v>
      </c>
      <c r="K13" s="8">
        <v>37</v>
      </c>
      <c r="L13" s="8">
        <v>170</v>
      </c>
      <c r="M13" s="8">
        <v>207</v>
      </c>
      <c r="N13" s="8">
        <v>8</v>
      </c>
      <c r="O13" s="8">
        <v>0</v>
      </c>
      <c r="P13" s="8">
        <v>8</v>
      </c>
      <c r="Q13" s="8">
        <v>57</v>
      </c>
      <c r="R13" s="8">
        <v>233</v>
      </c>
      <c r="S13" s="9">
        <v>290</v>
      </c>
    </row>
    <row r="14" spans="1:19" ht="13.5">
      <c r="A14" s="13" t="s">
        <v>1</v>
      </c>
      <c r="B14" s="14">
        <v>19739</v>
      </c>
      <c r="C14" s="14">
        <v>15609</v>
      </c>
      <c r="D14" s="14">
        <v>35348</v>
      </c>
      <c r="E14" s="14">
        <v>20600</v>
      </c>
      <c r="F14" s="14">
        <v>11065</v>
      </c>
      <c r="G14" s="14">
        <v>31665</v>
      </c>
      <c r="H14" s="14">
        <v>21029</v>
      </c>
      <c r="I14" s="14">
        <v>10224</v>
      </c>
      <c r="J14" s="14">
        <v>31253</v>
      </c>
      <c r="K14" s="14">
        <v>31348</v>
      </c>
      <c r="L14" s="14">
        <v>18916</v>
      </c>
      <c r="M14" s="14">
        <v>50264</v>
      </c>
      <c r="N14" s="14">
        <v>26732</v>
      </c>
      <c r="O14" s="14">
        <v>3567</v>
      </c>
      <c r="P14" s="14">
        <v>30299</v>
      </c>
      <c r="Q14" s="14">
        <v>119448</v>
      </c>
      <c r="R14" s="14">
        <v>59381</v>
      </c>
      <c r="S14" s="14">
        <v>178829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topLeftCell="E1" zoomScaleSheetLayoutView="100" workbookViewId="0">
      <selection activeCell="I13" sqref="I13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10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10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8703</v>
      </c>
      <c r="C5" s="8">
        <v>5221</v>
      </c>
      <c r="D5" s="9">
        <v>13924</v>
      </c>
      <c r="E5" s="8">
        <v>0</v>
      </c>
      <c r="F5" s="8">
        <v>0</v>
      </c>
      <c r="G5" s="9">
        <v>0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8703</v>
      </c>
      <c r="R5" s="9">
        <v>5221</v>
      </c>
      <c r="S5" s="9">
        <v>13924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3943</v>
      </c>
      <c r="F6" s="8">
        <v>2737</v>
      </c>
      <c r="G6" s="9">
        <v>6680</v>
      </c>
      <c r="H6" s="8">
        <v>3272</v>
      </c>
      <c r="I6" s="8">
        <v>1936</v>
      </c>
      <c r="J6" s="9">
        <v>5208</v>
      </c>
      <c r="K6" s="8">
        <v>5064</v>
      </c>
      <c r="L6" s="8">
        <v>3040</v>
      </c>
      <c r="M6" s="9">
        <v>8104</v>
      </c>
      <c r="N6" s="8">
        <v>6004</v>
      </c>
      <c r="O6" s="8">
        <v>3282</v>
      </c>
      <c r="P6" s="9">
        <v>9286</v>
      </c>
      <c r="Q6" s="9">
        <v>18283</v>
      </c>
      <c r="R6" s="9">
        <v>10995</v>
      </c>
      <c r="S6" s="9">
        <v>29278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9565</v>
      </c>
      <c r="F7" s="8">
        <v>6945</v>
      </c>
      <c r="G7" s="9">
        <v>16510</v>
      </c>
      <c r="H7" s="8">
        <v>9063</v>
      </c>
      <c r="I7" s="8">
        <v>7323</v>
      </c>
      <c r="J7" s="9">
        <v>16386</v>
      </c>
      <c r="K7" s="8">
        <v>14376</v>
      </c>
      <c r="L7" s="8">
        <v>14058</v>
      </c>
      <c r="M7" s="9">
        <v>28434</v>
      </c>
      <c r="N7" s="8">
        <v>11113</v>
      </c>
      <c r="O7" s="8">
        <v>200</v>
      </c>
      <c r="P7" s="9">
        <v>11313</v>
      </c>
      <c r="Q7" s="9">
        <v>44117</v>
      </c>
      <c r="R7" s="9">
        <v>28526</v>
      </c>
      <c r="S7" s="9">
        <v>72643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1936</v>
      </c>
      <c r="F8" s="8">
        <v>1366</v>
      </c>
      <c r="G8" s="9">
        <v>3302</v>
      </c>
      <c r="H8" s="8">
        <v>1459</v>
      </c>
      <c r="I8" s="8">
        <v>834</v>
      </c>
      <c r="J8" s="9">
        <v>2293</v>
      </c>
      <c r="K8" s="8">
        <v>2251</v>
      </c>
      <c r="L8" s="8">
        <v>1305</v>
      </c>
      <c r="M8" s="9">
        <v>3556</v>
      </c>
      <c r="N8" s="8">
        <v>1286</v>
      </c>
      <c r="O8" s="8">
        <v>9</v>
      </c>
      <c r="P8" s="9">
        <v>1295</v>
      </c>
      <c r="Q8" s="9">
        <v>6932</v>
      </c>
      <c r="R8" s="9">
        <v>3514</v>
      </c>
      <c r="S8" s="9">
        <v>10446</v>
      </c>
    </row>
    <row r="9" spans="1:19" ht="13.5">
      <c r="A9" s="7" t="s">
        <v>0</v>
      </c>
      <c r="B9" s="8">
        <v>11058</v>
      </c>
      <c r="C9" s="8">
        <v>10387</v>
      </c>
      <c r="D9" s="9">
        <v>21445</v>
      </c>
      <c r="E9" s="8">
        <v>0</v>
      </c>
      <c r="F9" s="8">
        <v>0</v>
      </c>
      <c r="G9" s="9">
        <v>0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11058</v>
      </c>
      <c r="R9" s="9">
        <v>10387</v>
      </c>
      <c r="S9" s="9">
        <v>21445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8</v>
      </c>
      <c r="L10" s="8">
        <v>19</v>
      </c>
      <c r="M10" s="9">
        <v>27</v>
      </c>
      <c r="N10" s="8">
        <v>19</v>
      </c>
      <c r="O10" s="8">
        <v>0</v>
      </c>
      <c r="P10" s="9">
        <v>19</v>
      </c>
      <c r="Q10" s="9">
        <v>27</v>
      </c>
      <c r="R10" s="9">
        <v>21</v>
      </c>
      <c r="S10" s="9">
        <v>48</v>
      </c>
    </row>
    <row r="11" spans="1:19" ht="13.5">
      <c r="A11" s="7" t="s">
        <v>6</v>
      </c>
      <c r="B11" s="8">
        <v>43</v>
      </c>
      <c r="C11" s="8">
        <v>36</v>
      </c>
      <c r="D11" s="9">
        <v>79</v>
      </c>
      <c r="E11" s="8">
        <v>9</v>
      </c>
      <c r="F11" s="8">
        <v>3</v>
      </c>
      <c r="G11" s="9">
        <v>12</v>
      </c>
      <c r="H11" s="8">
        <v>448</v>
      </c>
      <c r="I11" s="8">
        <v>0</v>
      </c>
      <c r="J11" s="9">
        <v>448</v>
      </c>
      <c r="K11" s="8">
        <v>1863</v>
      </c>
      <c r="L11" s="8">
        <v>36</v>
      </c>
      <c r="M11" s="9">
        <v>1899</v>
      </c>
      <c r="N11" s="8">
        <v>5370</v>
      </c>
      <c r="O11" s="8">
        <v>104</v>
      </c>
      <c r="P11" s="9">
        <v>5474</v>
      </c>
      <c r="Q11" s="9">
        <v>7733</v>
      </c>
      <c r="R11" s="9">
        <v>179</v>
      </c>
      <c r="S11" s="9">
        <v>7912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5181</v>
      </c>
      <c r="F12" s="8">
        <v>23</v>
      </c>
      <c r="G12" s="9">
        <v>5204</v>
      </c>
      <c r="H12" s="8">
        <v>6760</v>
      </c>
      <c r="I12" s="8">
        <v>104</v>
      </c>
      <c r="J12" s="9">
        <v>6864</v>
      </c>
      <c r="K12" s="8">
        <v>7755</v>
      </c>
      <c r="L12" s="8">
        <v>267</v>
      </c>
      <c r="M12" s="9">
        <v>8022</v>
      </c>
      <c r="N12" s="8">
        <v>3064</v>
      </c>
      <c r="O12" s="8">
        <v>1</v>
      </c>
      <c r="P12" s="9">
        <v>3065</v>
      </c>
      <c r="Q12" s="9">
        <v>22760</v>
      </c>
      <c r="R12" s="9">
        <v>395</v>
      </c>
      <c r="S12" s="9">
        <v>23155</v>
      </c>
    </row>
    <row r="13" spans="1:19" ht="13.5">
      <c r="A13" s="7" t="s">
        <v>7</v>
      </c>
      <c r="B13" s="8">
        <v>0</v>
      </c>
      <c r="C13" s="8">
        <v>0</v>
      </c>
      <c r="D13" s="9">
        <v>0</v>
      </c>
      <c r="E13" s="8">
        <v>3</v>
      </c>
      <c r="F13" s="8">
        <v>4</v>
      </c>
      <c r="G13" s="9">
        <v>7</v>
      </c>
      <c r="H13" s="8">
        <v>10</v>
      </c>
      <c r="I13" s="8">
        <v>59</v>
      </c>
      <c r="J13" s="9">
        <v>69</v>
      </c>
      <c r="K13" s="8">
        <v>36</v>
      </c>
      <c r="L13" s="8">
        <v>169</v>
      </c>
      <c r="M13" s="9">
        <v>205</v>
      </c>
      <c r="N13" s="8">
        <v>8</v>
      </c>
      <c r="O13" s="8">
        <v>1</v>
      </c>
      <c r="P13" s="9">
        <v>9</v>
      </c>
      <c r="Q13" s="9">
        <v>57</v>
      </c>
      <c r="R13" s="9">
        <v>233</v>
      </c>
      <c r="S13" s="9">
        <v>290</v>
      </c>
    </row>
    <row r="14" spans="1:19" ht="13.5">
      <c r="A14" s="13" t="s">
        <v>1</v>
      </c>
      <c r="B14" s="14">
        <v>19804</v>
      </c>
      <c r="C14" s="14">
        <v>15644</v>
      </c>
      <c r="D14" s="14">
        <v>35448</v>
      </c>
      <c r="E14" s="14">
        <v>20637</v>
      </c>
      <c r="F14" s="14">
        <v>11078</v>
      </c>
      <c r="G14" s="14">
        <v>31715</v>
      </c>
      <c r="H14" s="14">
        <v>21012</v>
      </c>
      <c r="I14" s="14">
        <v>10258</v>
      </c>
      <c r="J14" s="14">
        <v>31270</v>
      </c>
      <c r="K14" s="14">
        <v>31353</v>
      </c>
      <c r="L14" s="14">
        <v>18894</v>
      </c>
      <c r="M14" s="14">
        <v>50247</v>
      </c>
      <c r="N14" s="14">
        <v>26864</v>
      </c>
      <c r="O14" s="14">
        <v>3597</v>
      </c>
      <c r="P14" s="14">
        <v>30461</v>
      </c>
      <c r="Q14" s="14">
        <v>119670</v>
      </c>
      <c r="R14" s="14">
        <v>59471</v>
      </c>
      <c r="S14" s="14">
        <v>179141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B5" sqref="B5:B11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18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18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8783</v>
      </c>
      <c r="C5" s="8">
        <v>5214</v>
      </c>
      <c r="D5" s="9">
        <v>13997</v>
      </c>
      <c r="E5" s="8">
        <v>1</v>
      </c>
      <c r="F5" s="8">
        <v>1</v>
      </c>
      <c r="G5" s="9">
        <v>2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8784</v>
      </c>
      <c r="R5" s="9">
        <v>5215</v>
      </c>
      <c r="S5" s="9">
        <v>13999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3969</v>
      </c>
      <c r="F6" s="8">
        <v>2737</v>
      </c>
      <c r="G6" s="9">
        <v>6706</v>
      </c>
      <c r="H6" s="8">
        <v>3266</v>
      </c>
      <c r="I6" s="8">
        <v>1947</v>
      </c>
      <c r="J6" s="9">
        <v>5213</v>
      </c>
      <c r="K6" s="8">
        <v>5084</v>
      </c>
      <c r="L6" s="8">
        <v>3029</v>
      </c>
      <c r="M6" s="9">
        <v>8113</v>
      </c>
      <c r="N6" s="8">
        <v>6055</v>
      </c>
      <c r="O6" s="8">
        <v>3313</v>
      </c>
      <c r="P6" s="9">
        <v>9368</v>
      </c>
      <c r="Q6" s="9">
        <v>18374</v>
      </c>
      <c r="R6" s="9">
        <v>11026</v>
      </c>
      <c r="S6" s="9">
        <v>29400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9585</v>
      </c>
      <c r="F7" s="8">
        <v>6973</v>
      </c>
      <c r="G7" s="9">
        <v>16558</v>
      </c>
      <c r="H7" s="8">
        <v>9044</v>
      </c>
      <c r="I7" s="8">
        <v>7297</v>
      </c>
      <c r="J7" s="9">
        <v>16341</v>
      </c>
      <c r="K7" s="8">
        <v>14370</v>
      </c>
      <c r="L7" s="8">
        <v>14037</v>
      </c>
      <c r="M7" s="9">
        <v>28407</v>
      </c>
      <c r="N7" s="8">
        <v>11163</v>
      </c>
      <c r="O7" s="8">
        <v>210</v>
      </c>
      <c r="P7" s="9">
        <v>11373</v>
      </c>
      <c r="Q7" s="9">
        <v>44162</v>
      </c>
      <c r="R7" s="9">
        <v>28517</v>
      </c>
      <c r="S7" s="9">
        <v>72679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1922</v>
      </c>
      <c r="F8" s="8">
        <v>1367</v>
      </c>
      <c r="G8" s="9">
        <v>3289</v>
      </c>
      <c r="H8" s="8">
        <v>1457</v>
      </c>
      <c r="I8" s="8">
        <v>829</v>
      </c>
      <c r="J8" s="9">
        <v>2286</v>
      </c>
      <c r="K8" s="8">
        <v>2241</v>
      </c>
      <c r="L8" s="8">
        <v>1300</v>
      </c>
      <c r="M8" s="9">
        <v>3541</v>
      </c>
      <c r="N8" s="8">
        <v>1267</v>
      </c>
      <c r="O8" s="8">
        <v>7</v>
      </c>
      <c r="P8" s="9">
        <v>1274</v>
      </c>
      <c r="Q8" s="9">
        <v>6887</v>
      </c>
      <c r="R8" s="9">
        <v>3503</v>
      </c>
      <c r="S8" s="9">
        <v>10390</v>
      </c>
    </row>
    <row r="9" spans="1:19" ht="13.5">
      <c r="A9" s="7" t="s">
        <v>0</v>
      </c>
      <c r="B9" s="8">
        <v>11081</v>
      </c>
      <c r="C9" s="8">
        <v>10364</v>
      </c>
      <c r="D9" s="9">
        <v>21445</v>
      </c>
      <c r="E9" s="8">
        <v>4</v>
      </c>
      <c r="F9" s="8">
        <v>2</v>
      </c>
      <c r="G9" s="9">
        <v>6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11085</v>
      </c>
      <c r="R9" s="9">
        <v>10366</v>
      </c>
      <c r="S9" s="9">
        <v>21451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8</v>
      </c>
      <c r="L10" s="8">
        <v>19</v>
      </c>
      <c r="M10" s="9">
        <v>27</v>
      </c>
      <c r="N10" s="8">
        <v>19</v>
      </c>
      <c r="O10" s="8">
        <v>0</v>
      </c>
      <c r="P10" s="9">
        <v>19</v>
      </c>
      <c r="Q10" s="9">
        <v>27</v>
      </c>
      <c r="R10" s="9">
        <v>21</v>
      </c>
      <c r="S10" s="9">
        <v>48</v>
      </c>
    </row>
    <row r="11" spans="1:19" ht="13.5">
      <c r="A11" s="7" t="s">
        <v>6</v>
      </c>
      <c r="B11" s="8">
        <v>43</v>
      </c>
      <c r="C11" s="8">
        <v>36</v>
      </c>
      <c r="D11" s="9">
        <v>79</v>
      </c>
      <c r="E11" s="8">
        <v>8</v>
      </c>
      <c r="F11" s="8">
        <v>2</v>
      </c>
      <c r="G11" s="9">
        <v>10</v>
      </c>
      <c r="H11" s="8">
        <v>456</v>
      </c>
      <c r="I11" s="8">
        <v>1</v>
      </c>
      <c r="J11" s="9">
        <v>457</v>
      </c>
      <c r="K11" s="8">
        <v>1839</v>
      </c>
      <c r="L11" s="8">
        <v>37</v>
      </c>
      <c r="M11" s="9">
        <v>1876</v>
      </c>
      <c r="N11" s="8">
        <v>5381</v>
      </c>
      <c r="O11" s="8">
        <v>105</v>
      </c>
      <c r="P11" s="9">
        <v>5486</v>
      </c>
      <c r="Q11" s="9">
        <v>7727</v>
      </c>
      <c r="R11" s="9">
        <v>181</v>
      </c>
      <c r="S11" s="9">
        <v>7908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5169</v>
      </c>
      <c r="F12" s="8">
        <v>21</v>
      </c>
      <c r="G12" s="9">
        <v>5190</v>
      </c>
      <c r="H12" s="8">
        <v>6796</v>
      </c>
      <c r="I12" s="8">
        <v>108</v>
      </c>
      <c r="J12" s="9">
        <v>6904</v>
      </c>
      <c r="K12" s="8">
        <v>7824</v>
      </c>
      <c r="L12" s="8">
        <v>264</v>
      </c>
      <c r="M12" s="9">
        <v>8088</v>
      </c>
      <c r="N12" s="8">
        <v>3098</v>
      </c>
      <c r="O12" s="8">
        <v>1</v>
      </c>
      <c r="P12" s="9">
        <v>3099</v>
      </c>
      <c r="Q12" s="9">
        <v>22887</v>
      </c>
      <c r="R12" s="9">
        <v>394</v>
      </c>
      <c r="S12" s="9">
        <v>23281</v>
      </c>
    </row>
    <row r="13" spans="1:19" ht="13.5">
      <c r="A13" s="21" t="s">
        <v>7</v>
      </c>
      <c r="B13" s="22">
        <v>0</v>
      </c>
      <c r="C13" s="22">
        <v>0</v>
      </c>
      <c r="D13" s="23">
        <v>0</v>
      </c>
      <c r="E13" s="22">
        <v>3</v>
      </c>
      <c r="F13" s="22">
        <v>4</v>
      </c>
      <c r="G13" s="23">
        <v>7</v>
      </c>
      <c r="H13" s="22">
        <v>10</v>
      </c>
      <c r="I13" s="22">
        <v>59</v>
      </c>
      <c r="J13" s="23">
        <v>69</v>
      </c>
      <c r="K13" s="22">
        <v>36</v>
      </c>
      <c r="L13" s="22">
        <v>170</v>
      </c>
      <c r="M13" s="23">
        <v>206</v>
      </c>
      <c r="N13" s="22">
        <v>8</v>
      </c>
      <c r="O13" s="22">
        <v>1</v>
      </c>
      <c r="P13" s="23">
        <v>9</v>
      </c>
      <c r="Q13" s="23">
        <v>57</v>
      </c>
      <c r="R13" s="23">
        <v>234</v>
      </c>
      <c r="S13" s="23">
        <v>291</v>
      </c>
    </row>
    <row r="14" spans="1:19" ht="13.5">
      <c r="A14" s="20" t="s">
        <v>1</v>
      </c>
      <c r="B14" s="8">
        <v>19907</v>
      </c>
      <c r="C14" s="8">
        <v>15614</v>
      </c>
      <c r="D14" s="9">
        <v>35521</v>
      </c>
      <c r="E14" s="8">
        <v>20661</v>
      </c>
      <c r="F14" s="8">
        <v>11107</v>
      </c>
      <c r="G14" s="9">
        <v>31768</v>
      </c>
      <c r="H14" s="8">
        <v>21029</v>
      </c>
      <c r="I14" s="8">
        <v>10243</v>
      </c>
      <c r="J14" s="9">
        <v>31272</v>
      </c>
      <c r="K14" s="8">
        <v>31402</v>
      </c>
      <c r="L14" s="8">
        <v>18856</v>
      </c>
      <c r="M14" s="9">
        <v>50258</v>
      </c>
      <c r="N14" s="8">
        <v>26991</v>
      </c>
      <c r="O14" s="8">
        <v>3637</v>
      </c>
      <c r="P14" s="9">
        <v>30628</v>
      </c>
      <c r="Q14" s="9">
        <v>119990</v>
      </c>
      <c r="R14" s="9">
        <v>59457</v>
      </c>
      <c r="S14" s="9">
        <v>179447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D13" sqref="D13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19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19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8931</v>
      </c>
      <c r="C5" s="8">
        <v>5285</v>
      </c>
      <c r="D5" s="9">
        <v>14216</v>
      </c>
      <c r="E5" s="8">
        <v>1</v>
      </c>
      <c r="F5" s="8">
        <v>0</v>
      </c>
      <c r="G5" s="9">
        <v>1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8932</v>
      </c>
      <c r="R5" s="9">
        <v>5285</v>
      </c>
      <c r="S5" s="9">
        <v>14217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4002</v>
      </c>
      <c r="F6" s="8">
        <v>2718</v>
      </c>
      <c r="G6" s="9">
        <v>6720</v>
      </c>
      <c r="H6" s="8">
        <v>3257</v>
      </c>
      <c r="I6" s="8">
        <v>1953</v>
      </c>
      <c r="J6" s="9">
        <v>5210</v>
      </c>
      <c r="K6" s="8">
        <v>5086</v>
      </c>
      <c r="L6" s="8">
        <v>3036</v>
      </c>
      <c r="M6" s="9">
        <v>8122</v>
      </c>
      <c r="N6" s="8">
        <v>6093</v>
      </c>
      <c r="O6" s="8">
        <v>3344</v>
      </c>
      <c r="P6" s="9">
        <v>9437</v>
      </c>
      <c r="Q6" s="9">
        <v>18438</v>
      </c>
      <c r="R6" s="9">
        <v>11051</v>
      </c>
      <c r="S6" s="9">
        <v>29489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9554</v>
      </c>
      <c r="F7" s="8">
        <v>6970</v>
      </c>
      <c r="G7" s="9">
        <v>16524</v>
      </c>
      <c r="H7" s="8">
        <v>9018</v>
      </c>
      <c r="I7" s="8">
        <v>7272</v>
      </c>
      <c r="J7" s="9">
        <v>16290</v>
      </c>
      <c r="K7" s="8">
        <v>14316</v>
      </c>
      <c r="L7" s="8">
        <v>13912</v>
      </c>
      <c r="M7" s="9">
        <v>28228</v>
      </c>
      <c r="N7" s="8">
        <v>11107</v>
      </c>
      <c r="O7" s="8">
        <v>208</v>
      </c>
      <c r="P7" s="9">
        <v>11315</v>
      </c>
      <c r="Q7" s="9">
        <v>43995</v>
      </c>
      <c r="R7" s="9">
        <v>28362</v>
      </c>
      <c r="S7" s="9">
        <v>72357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1919</v>
      </c>
      <c r="F8" s="8">
        <v>1368</v>
      </c>
      <c r="G8" s="9">
        <v>3287</v>
      </c>
      <c r="H8" s="8">
        <v>1451</v>
      </c>
      <c r="I8" s="8">
        <v>828</v>
      </c>
      <c r="J8" s="9">
        <v>2279</v>
      </c>
      <c r="K8" s="8">
        <v>2238</v>
      </c>
      <c r="L8" s="8">
        <v>1299</v>
      </c>
      <c r="M8" s="9">
        <v>3537</v>
      </c>
      <c r="N8" s="8">
        <v>1266</v>
      </c>
      <c r="O8" s="8">
        <v>7</v>
      </c>
      <c r="P8" s="9">
        <v>1273</v>
      </c>
      <c r="Q8" s="9">
        <v>6874</v>
      </c>
      <c r="R8" s="9">
        <v>3502</v>
      </c>
      <c r="S8" s="9">
        <v>10376</v>
      </c>
    </row>
    <row r="9" spans="1:19" ht="13.5">
      <c r="A9" s="7" t="s">
        <v>0</v>
      </c>
      <c r="B9" s="8">
        <v>11078</v>
      </c>
      <c r="C9" s="8">
        <v>10360</v>
      </c>
      <c r="D9" s="9">
        <v>21438</v>
      </c>
      <c r="E9" s="8">
        <v>4</v>
      </c>
      <c r="F9" s="8">
        <v>1</v>
      </c>
      <c r="G9" s="9">
        <v>5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11082</v>
      </c>
      <c r="R9" s="9">
        <v>10361</v>
      </c>
      <c r="S9" s="9">
        <v>21443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7</v>
      </c>
      <c r="L10" s="8">
        <v>19</v>
      </c>
      <c r="M10" s="9">
        <v>26</v>
      </c>
      <c r="N10" s="8">
        <v>18</v>
      </c>
      <c r="O10" s="8">
        <v>0</v>
      </c>
      <c r="P10" s="9">
        <v>18</v>
      </c>
      <c r="Q10" s="9">
        <v>25</v>
      </c>
      <c r="R10" s="9">
        <v>21</v>
      </c>
      <c r="S10" s="9">
        <v>46</v>
      </c>
    </row>
    <row r="11" spans="1:19" ht="13.5">
      <c r="A11" s="7" t="s">
        <v>6</v>
      </c>
      <c r="B11" s="8">
        <v>43</v>
      </c>
      <c r="C11" s="8">
        <v>34</v>
      </c>
      <c r="D11" s="9">
        <v>77</v>
      </c>
      <c r="E11" s="8">
        <v>8</v>
      </c>
      <c r="F11" s="8">
        <v>2</v>
      </c>
      <c r="G11" s="9">
        <v>10</v>
      </c>
      <c r="H11" s="8">
        <v>459</v>
      </c>
      <c r="I11" s="8">
        <v>1</v>
      </c>
      <c r="J11" s="9">
        <v>460</v>
      </c>
      <c r="K11" s="8">
        <v>1828</v>
      </c>
      <c r="L11" s="8">
        <v>35</v>
      </c>
      <c r="M11" s="9">
        <v>1863</v>
      </c>
      <c r="N11" s="8">
        <v>5407</v>
      </c>
      <c r="O11" s="8">
        <v>108</v>
      </c>
      <c r="P11" s="9">
        <v>5515</v>
      </c>
      <c r="Q11" s="9">
        <v>7745</v>
      </c>
      <c r="R11" s="9">
        <v>180</v>
      </c>
      <c r="S11" s="9">
        <v>7925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5159</v>
      </c>
      <c r="F12" s="8">
        <v>19</v>
      </c>
      <c r="G12" s="9">
        <v>5178</v>
      </c>
      <c r="H12" s="8">
        <v>6854</v>
      </c>
      <c r="I12" s="8">
        <v>110</v>
      </c>
      <c r="J12" s="9">
        <v>6964</v>
      </c>
      <c r="K12" s="8">
        <v>7837</v>
      </c>
      <c r="L12" s="8">
        <v>265</v>
      </c>
      <c r="M12" s="9">
        <v>8102</v>
      </c>
      <c r="N12" s="8">
        <v>3159</v>
      </c>
      <c r="O12" s="8">
        <v>1</v>
      </c>
      <c r="P12" s="9">
        <v>3160</v>
      </c>
      <c r="Q12" s="9">
        <v>23009</v>
      </c>
      <c r="R12" s="9">
        <v>395</v>
      </c>
      <c r="S12" s="9">
        <v>23404</v>
      </c>
    </row>
    <row r="13" spans="1:19" ht="13.5">
      <c r="A13" s="21" t="s">
        <v>7</v>
      </c>
      <c r="B13" s="22">
        <f>B14-SUM(B5:B12)</f>
        <v>0</v>
      </c>
      <c r="C13" s="22">
        <f t="shared" ref="C13:S13" si="0">C14-SUM(C5:C12)</f>
        <v>0</v>
      </c>
      <c r="D13" s="23">
        <f t="shared" si="0"/>
        <v>0</v>
      </c>
      <c r="E13" s="22">
        <f t="shared" si="0"/>
        <v>3</v>
      </c>
      <c r="F13" s="22">
        <f t="shared" si="0"/>
        <v>3</v>
      </c>
      <c r="G13" s="23">
        <f t="shared" si="0"/>
        <v>6</v>
      </c>
      <c r="H13" s="22">
        <f t="shared" si="0"/>
        <v>9</v>
      </c>
      <c r="I13" s="22">
        <f t="shared" si="0"/>
        <v>55</v>
      </c>
      <c r="J13" s="23">
        <f t="shared" si="0"/>
        <v>64</v>
      </c>
      <c r="K13" s="22">
        <f t="shared" si="0"/>
        <v>35</v>
      </c>
      <c r="L13" s="22">
        <f t="shared" si="0"/>
        <v>171</v>
      </c>
      <c r="M13" s="23">
        <f t="shared" si="0"/>
        <v>206</v>
      </c>
      <c r="N13" s="22">
        <f t="shared" si="0"/>
        <v>8</v>
      </c>
      <c r="O13" s="22">
        <f t="shared" si="0"/>
        <v>0</v>
      </c>
      <c r="P13" s="23">
        <f t="shared" si="0"/>
        <v>8</v>
      </c>
      <c r="Q13" s="23">
        <f t="shared" si="0"/>
        <v>55</v>
      </c>
      <c r="R13" s="23">
        <f t="shared" si="0"/>
        <v>229</v>
      </c>
      <c r="S13" s="23">
        <f t="shared" si="0"/>
        <v>284</v>
      </c>
    </row>
    <row r="14" spans="1:19" ht="13.5">
      <c r="A14" s="20" t="s">
        <v>1</v>
      </c>
      <c r="B14" s="22">
        <v>20052</v>
      </c>
      <c r="C14" s="22">
        <v>15679</v>
      </c>
      <c r="D14" s="23">
        <v>35731</v>
      </c>
      <c r="E14" s="22">
        <v>20650</v>
      </c>
      <c r="F14" s="22">
        <v>11081</v>
      </c>
      <c r="G14" s="23">
        <v>31731</v>
      </c>
      <c r="H14" s="22">
        <v>21048</v>
      </c>
      <c r="I14" s="22">
        <v>10221</v>
      </c>
      <c r="J14" s="23">
        <v>31269</v>
      </c>
      <c r="K14" s="22">
        <v>31347</v>
      </c>
      <c r="L14" s="22">
        <v>18737</v>
      </c>
      <c r="M14" s="9">
        <v>50084</v>
      </c>
      <c r="N14" s="8">
        <v>27058</v>
      </c>
      <c r="O14" s="8">
        <v>3668</v>
      </c>
      <c r="P14" s="9">
        <v>30726</v>
      </c>
      <c r="Q14" s="9">
        <v>120155</v>
      </c>
      <c r="R14" s="9">
        <v>59386</v>
      </c>
      <c r="S14" s="9">
        <v>179541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topLeftCell="E1" zoomScaleSheetLayoutView="100" workbookViewId="0">
      <selection activeCell="B13" sqref="B13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24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24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9006</v>
      </c>
      <c r="C5" s="8">
        <v>5307</v>
      </c>
      <c r="D5" s="9">
        <v>14313</v>
      </c>
      <c r="E5" s="8">
        <v>1</v>
      </c>
      <c r="F5" s="8">
        <v>0</v>
      </c>
      <c r="G5" s="9">
        <v>1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9007</v>
      </c>
      <c r="R5" s="9">
        <v>5307</v>
      </c>
      <c r="S5" s="9">
        <v>14314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4019</v>
      </c>
      <c r="F6" s="8">
        <v>2737</v>
      </c>
      <c r="G6" s="9">
        <v>6756</v>
      </c>
      <c r="H6" s="8">
        <v>3250</v>
      </c>
      <c r="I6" s="8">
        <v>1971</v>
      </c>
      <c r="J6" s="9">
        <v>5221</v>
      </c>
      <c r="K6" s="8">
        <v>5093</v>
      </c>
      <c r="L6" s="8">
        <v>3048</v>
      </c>
      <c r="M6" s="9">
        <v>8141</v>
      </c>
      <c r="N6" s="8">
        <v>6135</v>
      </c>
      <c r="O6" s="8">
        <v>3357</v>
      </c>
      <c r="P6" s="9">
        <v>9492</v>
      </c>
      <c r="Q6" s="9">
        <v>18497</v>
      </c>
      <c r="R6" s="9">
        <v>11113</v>
      </c>
      <c r="S6" s="9">
        <v>29610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9546</v>
      </c>
      <c r="F7" s="8">
        <v>7021</v>
      </c>
      <c r="G7" s="9">
        <v>16567</v>
      </c>
      <c r="H7" s="8">
        <v>9063</v>
      </c>
      <c r="I7" s="8">
        <v>7298</v>
      </c>
      <c r="J7" s="9">
        <v>16361</v>
      </c>
      <c r="K7" s="8">
        <v>14329</v>
      </c>
      <c r="L7" s="8">
        <v>13916</v>
      </c>
      <c r="M7" s="9">
        <v>28245</v>
      </c>
      <c r="N7" s="8">
        <v>11185</v>
      </c>
      <c r="O7" s="8">
        <v>210</v>
      </c>
      <c r="P7" s="9">
        <v>11395</v>
      </c>
      <c r="Q7" s="9">
        <v>44123</v>
      </c>
      <c r="R7" s="9">
        <v>28445</v>
      </c>
      <c r="S7" s="9">
        <v>72568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1917</v>
      </c>
      <c r="F8" s="8">
        <v>1369</v>
      </c>
      <c r="G8" s="9">
        <v>3286</v>
      </c>
      <c r="H8" s="8">
        <v>1452</v>
      </c>
      <c r="I8" s="8">
        <v>828</v>
      </c>
      <c r="J8" s="9">
        <v>2280</v>
      </c>
      <c r="K8" s="8">
        <v>2224</v>
      </c>
      <c r="L8" s="8">
        <v>1291</v>
      </c>
      <c r="M8" s="9">
        <v>3515</v>
      </c>
      <c r="N8" s="8">
        <v>1252</v>
      </c>
      <c r="O8" s="8">
        <v>8</v>
      </c>
      <c r="P8" s="9">
        <v>1260</v>
      </c>
      <c r="Q8" s="9">
        <v>6845</v>
      </c>
      <c r="R8" s="9">
        <v>3496</v>
      </c>
      <c r="S8" s="9">
        <v>10341</v>
      </c>
    </row>
    <row r="9" spans="1:19" ht="13.5">
      <c r="A9" s="7" t="s">
        <v>0</v>
      </c>
      <c r="B9" s="8">
        <v>11047</v>
      </c>
      <c r="C9" s="8">
        <v>10312</v>
      </c>
      <c r="D9" s="9">
        <v>21359</v>
      </c>
      <c r="E9" s="8">
        <v>2</v>
      </c>
      <c r="F9" s="8">
        <v>3</v>
      </c>
      <c r="G9" s="9">
        <v>5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11049</v>
      </c>
      <c r="R9" s="9">
        <v>10315</v>
      </c>
      <c r="S9" s="9">
        <v>21364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7</v>
      </c>
      <c r="L10" s="8">
        <v>18</v>
      </c>
      <c r="M10" s="9">
        <v>25</v>
      </c>
      <c r="N10" s="8">
        <v>17</v>
      </c>
      <c r="O10" s="8">
        <v>0</v>
      </c>
      <c r="P10" s="9">
        <v>17</v>
      </c>
      <c r="Q10" s="9">
        <v>24</v>
      </c>
      <c r="R10" s="9">
        <v>20</v>
      </c>
      <c r="S10" s="9">
        <v>44</v>
      </c>
    </row>
    <row r="11" spans="1:19" ht="13.5">
      <c r="A11" s="7" t="s">
        <v>6</v>
      </c>
      <c r="B11" s="8">
        <v>43</v>
      </c>
      <c r="C11" s="8">
        <v>35</v>
      </c>
      <c r="D11" s="9">
        <v>78</v>
      </c>
      <c r="E11" s="8">
        <v>6</v>
      </c>
      <c r="F11" s="8">
        <v>2</v>
      </c>
      <c r="G11" s="9">
        <v>8</v>
      </c>
      <c r="H11" s="8">
        <v>462</v>
      </c>
      <c r="I11" s="8">
        <v>1</v>
      </c>
      <c r="J11" s="9">
        <v>463</v>
      </c>
      <c r="K11" s="8">
        <v>1816</v>
      </c>
      <c r="L11" s="8">
        <v>34</v>
      </c>
      <c r="M11" s="9">
        <v>1850</v>
      </c>
      <c r="N11" s="8">
        <v>5423</v>
      </c>
      <c r="O11" s="8">
        <v>107</v>
      </c>
      <c r="P11" s="9">
        <v>5530</v>
      </c>
      <c r="Q11" s="9">
        <v>7750</v>
      </c>
      <c r="R11" s="9">
        <v>179</v>
      </c>
      <c r="S11" s="9">
        <v>7929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5126</v>
      </c>
      <c r="F12" s="8">
        <v>16</v>
      </c>
      <c r="G12" s="9">
        <v>5142</v>
      </c>
      <c r="H12" s="8">
        <v>6891</v>
      </c>
      <c r="I12" s="8">
        <v>111</v>
      </c>
      <c r="J12" s="9">
        <v>7002</v>
      </c>
      <c r="K12" s="8">
        <v>7862</v>
      </c>
      <c r="L12" s="8">
        <v>261</v>
      </c>
      <c r="M12" s="9">
        <v>8123</v>
      </c>
      <c r="N12" s="8">
        <v>3159</v>
      </c>
      <c r="O12" s="8">
        <v>1</v>
      </c>
      <c r="P12" s="9">
        <v>3160</v>
      </c>
      <c r="Q12" s="9">
        <v>23038</v>
      </c>
      <c r="R12" s="9">
        <v>389</v>
      </c>
      <c r="S12" s="9">
        <v>23427</v>
      </c>
    </row>
    <row r="13" spans="1:19" ht="13.5">
      <c r="A13" s="21" t="s">
        <v>7</v>
      </c>
      <c r="B13" s="22">
        <f>B14-SUM(B5:B12)</f>
        <v>0</v>
      </c>
      <c r="C13" s="22">
        <f t="shared" ref="C13:S13" si="0">C14-SUM(C5:C12)</f>
        <v>0</v>
      </c>
      <c r="D13" s="23">
        <f t="shared" si="0"/>
        <v>0</v>
      </c>
      <c r="E13" s="22">
        <f t="shared" si="0"/>
        <v>3</v>
      </c>
      <c r="F13" s="22">
        <f t="shared" si="0"/>
        <v>3</v>
      </c>
      <c r="G13" s="23">
        <f t="shared" si="0"/>
        <v>6</v>
      </c>
      <c r="H13" s="22">
        <f t="shared" si="0"/>
        <v>9</v>
      </c>
      <c r="I13" s="22">
        <f t="shared" si="0"/>
        <v>51</v>
      </c>
      <c r="J13" s="23">
        <f t="shared" si="0"/>
        <v>60</v>
      </c>
      <c r="K13" s="22">
        <f t="shared" si="0"/>
        <v>36</v>
      </c>
      <c r="L13" s="22">
        <f t="shared" si="0"/>
        <v>165</v>
      </c>
      <c r="M13" s="23">
        <f t="shared" si="0"/>
        <v>201</v>
      </c>
      <c r="N13" s="22">
        <f t="shared" si="0"/>
        <v>8</v>
      </c>
      <c r="O13" s="22">
        <f t="shared" si="0"/>
        <v>0</v>
      </c>
      <c r="P13" s="23">
        <f t="shared" si="0"/>
        <v>8</v>
      </c>
      <c r="Q13" s="23">
        <f t="shared" si="0"/>
        <v>56</v>
      </c>
      <c r="R13" s="23">
        <f t="shared" si="0"/>
        <v>219</v>
      </c>
      <c r="S13" s="23">
        <f t="shared" si="0"/>
        <v>275</v>
      </c>
    </row>
    <row r="14" spans="1:19" ht="13.5">
      <c r="A14" s="20" t="s">
        <v>1</v>
      </c>
      <c r="B14" s="22">
        <v>20096</v>
      </c>
      <c r="C14" s="22">
        <v>15654</v>
      </c>
      <c r="D14" s="23">
        <v>35750</v>
      </c>
      <c r="E14" s="22">
        <v>20620</v>
      </c>
      <c r="F14" s="22">
        <v>11151</v>
      </c>
      <c r="G14" s="23">
        <v>31771</v>
      </c>
      <c r="H14" s="22">
        <v>21127</v>
      </c>
      <c r="I14" s="22">
        <v>10262</v>
      </c>
      <c r="J14" s="23">
        <v>31389</v>
      </c>
      <c r="K14" s="22">
        <v>31367</v>
      </c>
      <c r="L14" s="22">
        <v>18733</v>
      </c>
      <c r="M14" s="9">
        <v>50100</v>
      </c>
      <c r="N14" s="8">
        <v>27179</v>
      </c>
      <c r="O14" s="8">
        <v>3683</v>
      </c>
      <c r="P14" s="9">
        <v>30862</v>
      </c>
      <c r="Q14" s="9">
        <v>120389</v>
      </c>
      <c r="R14" s="9">
        <v>59483</v>
      </c>
      <c r="S14" s="9">
        <v>179872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B5" sqref="B5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25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25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9123</v>
      </c>
      <c r="C5" s="8">
        <v>5364</v>
      </c>
      <c r="D5" s="9">
        <v>14487</v>
      </c>
      <c r="E5" s="8">
        <v>1</v>
      </c>
      <c r="F5" s="8">
        <v>1</v>
      </c>
      <c r="G5" s="9">
        <v>2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9124</v>
      </c>
      <c r="R5" s="9">
        <v>5365</v>
      </c>
      <c r="S5" s="9">
        <v>14489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4035</v>
      </c>
      <c r="F6" s="8">
        <v>2750</v>
      </c>
      <c r="G6" s="9">
        <v>6785</v>
      </c>
      <c r="H6" s="8">
        <v>3268</v>
      </c>
      <c r="I6" s="8">
        <v>1983</v>
      </c>
      <c r="J6" s="9">
        <v>5251</v>
      </c>
      <c r="K6" s="8">
        <v>5110</v>
      </c>
      <c r="L6" s="8">
        <v>3066</v>
      </c>
      <c r="M6" s="9">
        <v>8176</v>
      </c>
      <c r="N6" s="8">
        <v>6186</v>
      </c>
      <c r="O6" s="8">
        <v>3359</v>
      </c>
      <c r="P6" s="9">
        <v>9545</v>
      </c>
      <c r="Q6" s="9">
        <v>18599</v>
      </c>
      <c r="R6" s="9">
        <v>11158</v>
      </c>
      <c r="S6" s="9">
        <v>29757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9516</v>
      </c>
      <c r="F7" s="8">
        <v>7006</v>
      </c>
      <c r="G7" s="9">
        <v>16522</v>
      </c>
      <c r="H7" s="8">
        <v>9087</v>
      </c>
      <c r="I7" s="8">
        <v>7286</v>
      </c>
      <c r="J7" s="9">
        <v>16373</v>
      </c>
      <c r="K7" s="8">
        <v>14281</v>
      </c>
      <c r="L7" s="8">
        <v>13883</v>
      </c>
      <c r="M7" s="9">
        <v>28164</v>
      </c>
      <c r="N7" s="8">
        <v>11224</v>
      </c>
      <c r="O7" s="8">
        <v>225</v>
      </c>
      <c r="P7" s="9">
        <v>11449</v>
      </c>
      <c r="Q7" s="9">
        <v>44108</v>
      </c>
      <c r="R7" s="9">
        <v>28400</v>
      </c>
      <c r="S7" s="9">
        <v>72508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1910</v>
      </c>
      <c r="F8" s="8">
        <v>1358</v>
      </c>
      <c r="G8" s="9">
        <v>3268</v>
      </c>
      <c r="H8" s="8">
        <v>1448</v>
      </c>
      <c r="I8" s="8">
        <v>827</v>
      </c>
      <c r="J8" s="9">
        <v>2275</v>
      </c>
      <c r="K8" s="8">
        <v>2206</v>
      </c>
      <c r="L8" s="8">
        <v>1287</v>
      </c>
      <c r="M8" s="9">
        <v>3493</v>
      </c>
      <c r="N8" s="8">
        <v>1248</v>
      </c>
      <c r="O8" s="8">
        <v>8</v>
      </c>
      <c r="P8" s="9">
        <v>1256</v>
      </c>
      <c r="Q8" s="9">
        <v>6812</v>
      </c>
      <c r="R8" s="9">
        <v>3480</v>
      </c>
      <c r="S8" s="9">
        <v>10292</v>
      </c>
    </row>
    <row r="9" spans="1:19" ht="13.5">
      <c r="A9" s="7" t="s">
        <v>0</v>
      </c>
      <c r="B9" s="8">
        <v>11019</v>
      </c>
      <c r="C9" s="8">
        <v>10302</v>
      </c>
      <c r="D9" s="9">
        <v>21321</v>
      </c>
      <c r="E9" s="8">
        <v>3</v>
      </c>
      <c r="F9" s="8">
        <v>3</v>
      </c>
      <c r="G9" s="9">
        <v>6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11022</v>
      </c>
      <c r="R9" s="9">
        <v>10305</v>
      </c>
      <c r="S9" s="9">
        <v>21327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7</v>
      </c>
      <c r="L10" s="8">
        <v>17</v>
      </c>
      <c r="M10" s="9">
        <v>24</v>
      </c>
      <c r="N10" s="8">
        <v>16</v>
      </c>
      <c r="O10" s="8">
        <v>0</v>
      </c>
      <c r="P10" s="9">
        <v>16</v>
      </c>
      <c r="Q10" s="9">
        <v>23</v>
      </c>
      <c r="R10" s="9">
        <v>19</v>
      </c>
      <c r="S10" s="9">
        <v>42</v>
      </c>
    </row>
    <row r="11" spans="1:19" ht="13.5">
      <c r="A11" s="7" t="s">
        <v>6</v>
      </c>
      <c r="B11" s="8">
        <v>43</v>
      </c>
      <c r="C11" s="8">
        <v>35</v>
      </c>
      <c r="D11" s="9">
        <v>78</v>
      </c>
      <c r="E11" s="8">
        <v>5</v>
      </c>
      <c r="F11" s="8">
        <v>2</v>
      </c>
      <c r="G11" s="9">
        <v>7</v>
      </c>
      <c r="H11" s="8">
        <v>463</v>
      </c>
      <c r="I11" s="8">
        <v>1</v>
      </c>
      <c r="J11" s="9">
        <v>464</v>
      </c>
      <c r="K11" s="8">
        <v>1833</v>
      </c>
      <c r="L11" s="8">
        <v>34</v>
      </c>
      <c r="M11" s="9">
        <v>1867</v>
      </c>
      <c r="N11" s="8">
        <v>5426</v>
      </c>
      <c r="O11" s="8">
        <v>109</v>
      </c>
      <c r="P11" s="9">
        <v>5535</v>
      </c>
      <c r="Q11" s="9">
        <v>7770</v>
      </c>
      <c r="R11" s="9">
        <v>181</v>
      </c>
      <c r="S11" s="9">
        <v>7951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5093</v>
      </c>
      <c r="F12" s="8">
        <v>17</v>
      </c>
      <c r="G12" s="9">
        <v>5110</v>
      </c>
      <c r="H12" s="8">
        <v>6899</v>
      </c>
      <c r="I12" s="8">
        <v>109</v>
      </c>
      <c r="J12" s="9">
        <v>7008</v>
      </c>
      <c r="K12" s="8">
        <v>7893</v>
      </c>
      <c r="L12" s="8">
        <v>262</v>
      </c>
      <c r="M12" s="9">
        <v>8155</v>
      </c>
      <c r="N12" s="8">
        <v>3185</v>
      </c>
      <c r="O12" s="8">
        <v>1</v>
      </c>
      <c r="P12" s="9">
        <v>3186</v>
      </c>
      <c r="Q12" s="9">
        <v>23070</v>
      </c>
      <c r="R12" s="9">
        <v>389</v>
      </c>
      <c r="S12" s="9">
        <v>23459</v>
      </c>
    </row>
    <row r="13" spans="1:19" ht="13.5">
      <c r="A13" s="21" t="s">
        <v>7</v>
      </c>
      <c r="B13" s="22">
        <f>B14-SUM(B5:B12)</f>
        <v>0</v>
      </c>
      <c r="C13" s="22">
        <f t="shared" ref="C13:S13" si="0">C14-SUM(C5:C12)</f>
        <v>0</v>
      </c>
      <c r="D13" s="23">
        <f t="shared" si="0"/>
        <v>0</v>
      </c>
      <c r="E13" s="22">
        <f t="shared" si="0"/>
        <v>3</v>
      </c>
      <c r="F13" s="22">
        <f t="shared" si="0"/>
        <v>3</v>
      </c>
      <c r="G13" s="23">
        <f t="shared" si="0"/>
        <v>6</v>
      </c>
      <c r="H13" s="22">
        <f t="shared" si="0"/>
        <v>9</v>
      </c>
      <c r="I13" s="22">
        <f t="shared" si="0"/>
        <v>47</v>
      </c>
      <c r="J13" s="23">
        <f t="shared" si="0"/>
        <v>56</v>
      </c>
      <c r="K13" s="22">
        <f t="shared" si="0"/>
        <v>36</v>
      </c>
      <c r="L13" s="22">
        <f t="shared" si="0"/>
        <v>161</v>
      </c>
      <c r="M13" s="23">
        <f t="shared" si="0"/>
        <v>197</v>
      </c>
      <c r="N13" s="22">
        <f t="shared" si="0"/>
        <v>8</v>
      </c>
      <c r="O13" s="22">
        <f t="shared" si="0"/>
        <v>0</v>
      </c>
      <c r="P13" s="23">
        <f t="shared" si="0"/>
        <v>8</v>
      </c>
      <c r="Q13" s="23">
        <f t="shared" si="0"/>
        <v>56</v>
      </c>
      <c r="R13" s="23">
        <f t="shared" si="0"/>
        <v>211</v>
      </c>
      <c r="S13" s="23">
        <f t="shared" si="0"/>
        <v>267</v>
      </c>
    </row>
    <row r="14" spans="1:19" ht="13.5">
      <c r="A14" s="20" t="s">
        <v>1</v>
      </c>
      <c r="B14" s="22">
        <v>20185</v>
      </c>
      <c r="C14" s="22">
        <v>15701</v>
      </c>
      <c r="D14" s="23">
        <v>35886</v>
      </c>
      <c r="E14" s="22">
        <v>20566</v>
      </c>
      <c r="F14" s="22">
        <v>11140</v>
      </c>
      <c r="G14" s="23">
        <v>31706</v>
      </c>
      <c r="H14" s="22">
        <v>21174</v>
      </c>
      <c r="I14" s="22">
        <v>10255</v>
      </c>
      <c r="J14" s="23">
        <v>31429</v>
      </c>
      <c r="K14" s="22">
        <v>31366</v>
      </c>
      <c r="L14" s="22">
        <v>18710</v>
      </c>
      <c r="M14" s="9">
        <v>50076</v>
      </c>
      <c r="N14" s="8">
        <v>27293</v>
      </c>
      <c r="O14" s="8">
        <v>3702</v>
      </c>
      <c r="P14" s="9">
        <v>30995</v>
      </c>
      <c r="Q14" s="9">
        <v>120584</v>
      </c>
      <c r="R14" s="9">
        <v>59508</v>
      </c>
      <c r="S14" s="9">
        <v>180092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="80" zoomScaleSheetLayoutView="80" workbookViewId="0">
      <selection activeCell="B5" sqref="B5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26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26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9240</v>
      </c>
      <c r="C5" s="8">
        <v>5401</v>
      </c>
      <c r="D5" s="9">
        <v>14641</v>
      </c>
      <c r="E5" s="8">
        <v>3</v>
      </c>
      <c r="F5" s="8">
        <v>1</v>
      </c>
      <c r="G5" s="9">
        <v>4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9243</v>
      </c>
      <c r="R5" s="9">
        <v>5402</v>
      </c>
      <c r="S5" s="9">
        <v>14645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4037</v>
      </c>
      <c r="F6" s="8">
        <v>2763</v>
      </c>
      <c r="G6" s="9">
        <v>6800</v>
      </c>
      <c r="H6" s="8">
        <v>3269</v>
      </c>
      <c r="I6" s="8">
        <v>1993</v>
      </c>
      <c r="J6" s="9">
        <v>5262</v>
      </c>
      <c r="K6" s="8">
        <v>5112</v>
      </c>
      <c r="L6" s="8">
        <v>3067</v>
      </c>
      <c r="M6" s="9">
        <v>8179</v>
      </c>
      <c r="N6" s="8">
        <v>6237</v>
      </c>
      <c r="O6" s="8">
        <v>3367</v>
      </c>
      <c r="P6" s="9">
        <v>9604</v>
      </c>
      <c r="Q6" s="9">
        <v>18655</v>
      </c>
      <c r="R6" s="9">
        <v>11190</v>
      </c>
      <c r="S6" s="9">
        <v>29845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9502</v>
      </c>
      <c r="F7" s="8">
        <v>6976</v>
      </c>
      <c r="G7" s="9">
        <v>16478</v>
      </c>
      <c r="H7" s="8">
        <v>9074</v>
      </c>
      <c r="I7" s="8">
        <v>7254</v>
      </c>
      <c r="J7" s="9">
        <v>16328</v>
      </c>
      <c r="K7" s="8">
        <v>14280</v>
      </c>
      <c r="L7" s="8">
        <v>13865</v>
      </c>
      <c r="M7" s="9">
        <v>28145</v>
      </c>
      <c r="N7" s="8">
        <v>11227</v>
      </c>
      <c r="O7" s="8">
        <v>214</v>
      </c>
      <c r="P7" s="9">
        <v>11441</v>
      </c>
      <c r="Q7" s="9">
        <v>44083</v>
      </c>
      <c r="R7" s="9">
        <v>28309</v>
      </c>
      <c r="S7" s="9">
        <v>72392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1911</v>
      </c>
      <c r="F8" s="8">
        <v>1353</v>
      </c>
      <c r="G8" s="9">
        <v>3264</v>
      </c>
      <c r="H8" s="8">
        <v>1441</v>
      </c>
      <c r="I8" s="8">
        <v>832</v>
      </c>
      <c r="J8" s="9">
        <v>2273</v>
      </c>
      <c r="K8" s="8">
        <v>2188</v>
      </c>
      <c r="L8" s="8">
        <v>1276</v>
      </c>
      <c r="M8" s="9">
        <v>3464</v>
      </c>
      <c r="N8" s="8">
        <v>1254</v>
      </c>
      <c r="O8" s="8">
        <v>11</v>
      </c>
      <c r="P8" s="9">
        <v>1265</v>
      </c>
      <c r="Q8" s="9">
        <v>6794</v>
      </c>
      <c r="R8" s="9">
        <v>3472</v>
      </c>
      <c r="S8" s="9">
        <v>10266</v>
      </c>
    </row>
    <row r="9" spans="1:19" ht="13.5">
      <c r="A9" s="7" t="s">
        <v>0</v>
      </c>
      <c r="B9" s="8">
        <v>10988</v>
      </c>
      <c r="C9" s="8">
        <v>10293</v>
      </c>
      <c r="D9" s="9">
        <v>21281</v>
      </c>
      <c r="E9" s="8">
        <v>5</v>
      </c>
      <c r="F9" s="8">
        <v>2</v>
      </c>
      <c r="G9" s="9">
        <v>7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10993</v>
      </c>
      <c r="R9" s="9">
        <v>10295</v>
      </c>
      <c r="S9" s="9">
        <v>21288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7</v>
      </c>
      <c r="L10" s="8">
        <v>17</v>
      </c>
      <c r="M10" s="9">
        <v>24</v>
      </c>
      <c r="N10" s="8">
        <v>16</v>
      </c>
      <c r="O10" s="8">
        <v>0</v>
      </c>
      <c r="P10" s="9">
        <v>16</v>
      </c>
      <c r="Q10" s="9">
        <v>23</v>
      </c>
      <c r="R10" s="9">
        <v>19</v>
      </c>
      <c r="S10" s="9">
        <v>42</v>
      </c>
    </row>
    <row r="11" spans="1:19" ht="13.5">
      <c r="A11" s="7" t="s">
        <v>6</v>
      </c>
      <c r="B11" s="8">
        <v>40</v>
      </c>
      <c r="C11" s="8">
        <v>35</v>
      </c>
      <c r="D11" s="9">
        <v>75</v>
      </c>
      <c r="E11" s="8">
        <v>5</v>
      </c>
      <c r="F11" s="8">
        <v>2</v>
      </c>
      <c r="G11" s="9">
        <v>7</v>
      </c>
      <c r="H11" s="8">
        <v>467</v>
      </c>
      <c r="I11" s="8">
        <v>1</v>
      </c>
      <c r="J11" s="9">
        <v>468</v>
      </c>
      <c r="K11" s="8">
        <v>1820</v>
      </c>
      <c r="L11" s="8">
        <v>34</v>
      </c>
      <c r="M11" s="9">
        <v>1854</v>
      </c>
      <c r="N11" s="8">
        <v>5440</v>
      </c>
      <c r="O11" s="8">
        <v>110</v>
      </c>
      <c r="P11" s="9">
        <v>5550</v>
      </c>
      <c r="Q11" s="9">
        <v>7772</v>
      </c>
      <c r="R11" s="9">
        <v>182</v>
      </c>
      <c r="S11" s="9">
        <v>7954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5039</v>
      </c>
      <c r="F12" s="8">
        <v>17</v>
      </c>
      <c r="G12" s="9">
        <v>5056</v>
      </c>
      <c r="H12" s="8">
        <v>6968</v>
      </c>
      <c r="I12" s="8">
        <v>104</v>
      </c>
      <c r="J12" s="9">
        <v>7072</v>
      </c>
      <c r="K12" s="8">
        <v>7915</v>
      </c>
      <c r="L12" s="8">
        <v>264</v>
      </c>
      <c r="M12" s="9">
        <v>8179</v>
      </c>
      <c r="N12" s="8">
        <v>3214</v>
      </c>
      <c r="O12" s="8">
        <v>2</v>
      </c>
      <c r="P12" s="9">
        <v>3216</v>
      </c>
      <c r="Q12" s="9">
        <v>23136</v>
      </c>
      <c r="R12" s="9">
        <v>387</v>
      </c>
      <c r="S12" s="9">
        <v>23523</v>
      </c>
    </row>
    <row r="13" spans="1:19" ht="13.5">
      <c r="A13" s="21" t="s">
        <v>7</v>
      </c>
      <c r="B13" s="22">
        <f>B14-SUM(B5:B12)</f>
        <v>0</v>
      </c>
      <c r="C13" s="22">
        <f t="shared" ref="C13:S13" si="0">C14-SUM(C5:C12)</f>
        <v>0</v>
      </c>
      <c r="D13" s="23">
        <f t="shared" si="0"/>
        <v>0</v>
      </c>
      <c r="E13" s="22">
        <f t="shared" si="0"/>
        <v>3</v>
      </c>
      <c r="F13" s="22">
        <f t="shared" si="0"/>
        <v>3</v>
      </c>
      <c r="G13" s="23">
        <f t="shared" si="0"/>
        <v>6</v>
      </c>
      <c r="H13" s="22">
        <f t="shared" si="0"/>
        <v>9</v>
      </c>
      <c r="I13" s="22">
        <f t="shared" si="0"/>
        <v>46</v>
      </c>
      <c r="J13" s="23">
        <f t="shared" si="0"/>
        <v>55</v>
      </c>
      <c r="K13" s="22">
        <f t="shared" si="0"/>
        <v>34</v>
      </c>
      <c r="L13" s="22">
        <f t="shared" si="0"/>
        <v>163</v>
      </c>
      <c r="M13" s="23">
        <f t="shared" si="0"/>
        <v>197</v>
      </c>
      <c r="N13" s="22">
        <f t="shared" si="0"/>
        <v>8</v>
      </c>
      <c r="O13" s="22">
        <f t="shared" si="0"/>
        <v>0</v>
      </c>
      <c r="P13" s="23">
        <f t="shared" si="0"/>
        <v>8</v>
      </c>
      <c r="Q13" s="23">
        <f t="shared" si="0"/>
        <v>54</v>
      </c>
      <c r="R13" s="23">
        <f t="shared" si="0"/>
        <v>212</v>
      </c>
      <c r="S13" s="23">
        <f t="shared" si="0"/>
        <v>266</v>
      </c>
    </row>
    <row r="14" spans="1:19" ht="13.5">
      <c r="A14" s="20" t="s">
        <v>1</v>
      </c>
      <c r="B14" s="22">
        <v>20268</v>
      </c>
      <c r="C14" s="22">
        <v>15729</v>
      </c>
      <c r="D14" s="23">
        <v>35997</v>
      </c>
      <c r="E14" s="22">
        <v>20505</v>
      </c>
      <c r="F14" s="22">
        <v>11117</v>
      </c>
      <c r="G14" s="23">
        <v>31622</v>
      </c>
      <c r="H14" s="22">
        <v>21228</v>
      </c>
      <c r="I14" s="22">
        <v>10232</v>
      </c>
      <c r="J14" s="23">
        <v>31460</v>
      </c>
      <c r="K14" s="22">
        <v>31356</v>
      </c>
      <c r="L14" s="22">
        <v>18686</v>
      </c>
      <c r="M14" s="9">
        <v>50042</v>
      </c>
      <c r="N14" s="8">
        <v>27396</v>
      </c>
      <c r="O14" s="8">
        <v>3704</v>
      </c>
      <c r="P14" s="9">
        <v>31100</v>
      </c>
      <c r="Q14" s="9">
        <v>120753</v>
      </c>
      <c r="R14" s="9">
        <v>59468</v>
      </c>
      <c r="S14" s="9">
        <v>180221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topLeftCell="B1" zoomScale="80" zoomScaleSheetLayoutView="8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27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27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9379</v>
      </c>
      <c r="C5" s="8">
        <v>5430</v>
      </c>
      <c r="D5" s="9">
        <v>14809</v>
      </c>
      <c r="E5" s="8">
        <v>2</v>
      </c>
      <c r="F5" s="8">
        <v>0</v>
      </c>
      <c r="G5" s="9">
        <v>2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9381</v>
      </c>
      <c r="R5" s="9">
        <v>5430</v>
      </c>
      <c r="S5" s="9">
        <v>14811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4053</v>
      </c>
      <c r="F6" s="8">
        <v>2765</v>
      </c>
      <c r="G6" s="9">
        <v>6818</v>
      </c>
      <c r="H6" s="8">
        <v>3268</v>
      </c>
      <c r="I6" s="8">
        <v>1991</v>
      </c>
      <c r="J6" s="9">
        <v>5259</v>
      </c>
      <c r="K6" s="8">
        <v>5109</v>
      </c>
      <c r="L6" s="8">
        <v>3076</v>
      </c>
      <c r="M6" s="9">
        <v>8185</v>
      </c>
      <c r="N6" s="8">
        <v>6266</v>
      </c>
      <c r="O6" s="8">
        <v>3387</v>
      </c>
      <c r="P6" s="9">
        <v>9653</v>
      </c>
      <c r="Q6" s="9">
        <v>18696</v>
      </c>
      <c r="R6" s="9">
        <v>11219</v>
      </c>
      <c r="S6" s="9">
        <v>29915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9500</v>
      </c>
      <c r="F7" s="8">
        <v>6994</v>
      </c>
      <c r="G7" s="9">
        <v>16494</v>
      </c>
      <c r="H7" s="8">
        <v>9038</v>
      </c>
      <c r="I7" s="8">
        <v>7253</v>
      </c>
      <c r="J7" s="9">
        <v>16291</v>
      </c>
      <c r="K7" s="8">
        <v>14358</v>
      </c>
      <c r="L7" s="8">
        <v>13896</v>
      </c>
      <c r="M7" s="9">
        <v>28254</v>
      </c>
      <c r="N7" s="8">
        <v>11269</v>
      </c>
      <c r="O7" s="8">
        <v>215</v>
      </c>
      <c r="P7" s="9">
        <v>11484</v>
      </c>
      <c r="Q7" s="9">
        <v>44165</v>
      </c>
      <c r="R7" s="9">
        <v>28358</v>
      </c>
      <c r="S7" s="9">
        <v>72523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1899</v>
      </c>
      <c r="F8" s="8">
        <v>1347</v>
      </c>
      <c r="G8" s="9">
        <v>3246</v>
      </c>
      <c r="H8" s="8">
        <v>1435</v>
      </c>
      <c r="I8" s="8">
        <v>829</v>
      </c>
      <c r="J8" s="9">
        <v>2264</v>
      </c>
      <c r="K8" s="8">
        <v>2190</v>
      </c>
      <c r="L8" s="8">
        <v>1270</v>
      </c>
      <c r="M8" s="9">
        <v>3460</v>
      </c>
      <c r="N8" s="8">
        <v>1253</v>
      </c>
      <c r="O8" s="8">
        <v>8</v>
      </c>
      <c r="P8" s="9">
        <v>1261</v>
      </c>
      <c r="Q8" s="9">
        <v>6777</v>
      </c>
      <c r="R8" s="9">
        <v>3454</v>
      </c>
      <c r="S8" s="9">
        <v>10231</v>
      </c>
    </row>
    <row r="9" spans="1:19" ht="13.5">
      <c r="A9" s="7" t="s">
        <v>0</v>
      </c>
      <c r="B9" s="8">
        <v>10950</v>
      </c>
      <c r="C9" s="8">
        <v>10258</v>
      </c>
      <c r="D9" s="9">
        <v>21208</v>
      </c>
      <c r="E9" s="8">
        <v>7</v>
      </c>
      <c r="F9" s="8">
        <v>4</v>
      </c>
      <c r="G9" s="9">
        <v>11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10957</v>
      </c>
      <c r="R9" s="9">
        <v>10262</v>
      </c>
      <c r="S9" s="9">
        <v>21219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8</v>
      </c>
      <c r="L10" s="8">
        <v>17</v>
      </c>
      <c r="M10" s="9">
        <v>25</v>
      </c>
      <c r="N10" s="8">
        <v>15</v>
      </c>
      <c r="O10" s="8">
        <v>0</v>
      </c>
      <c r="P10" s="9">
        <v>15</v>
      </c>
      <c r="Q10" s="9">
        <v>23</v>
      </c>
      <c r="R10" s="9">
        <v>19</v>
      </c>
      <c r="S10" s="9">
        <v>42</v>
      </c>
    </row>
    <row r="11" spans="1:19" ht="13.5">
      <c r="A11" s="7" t="s">
        <v>6</v>
      </c>
      <c r="B11" s="8">
        <v>41</v>
      </c>
      <c r="C11" s="8">
        <v>35</v>
      </c>
      <c r="D11" s="9">
        <v>76</v>
      </c>
      <c r="E11" s="8">
        <v>5</v>
      </c>
      <c r="F11" s="8">
        <v>2</v>
      </c>
      <c r="G11" s="9">
        <v>7</v>
      </c>
      <c r="H11" s="8">
        <v>468</v>
      </c>
      <c r="I11" s="8">
        <v>1</v>
      </c>
      <c r="J11" s="9">
        <v>469</v>
      </c>
      <c r="K11" s="8">
        <v>1806</v>
      </c>
      <c r="L11" s="8">
        <v>33</v>
      </c>
      <c r="M11" s="9">
        <v>1839</v>
      </c>
      <c r="N11" s="8">
        <v>5455</v>
      </c>
      <c r="O11" s="8">
        <v>108</v>
      </c>
      <c r="P11" s="9">
        <v>5563</v>
      </c>
      <c r="Q11" s="9">
        <v>7775</v>
      </c>
      <c r="R11" s="9">
        <v>179</v>
      </c>
      <c r="S11" s="9">
        <v>7954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4994</v>
      </c>
      <c r="F12" s="8">
        <v>18</v>
      </c>
      <c r="G12" s="9">
        <v>5012</v>
      </c>
      <c r="H12" s="8">
        <v>6995</v>
      </c>
      <c r="I12" s="8">
        <v>103</v>
      </c>
      <c r="J12" s="9">
        <v>7098</v>
      </c>
      <c r="K12" s="8">
        <v>7957</v>
      </c>
      <c r="L12" s="8">
        <v>271</v>
      </c>
      <c r="M12" s="9">
        <v>8228</v>
      </c>
      <c r="N12" s="8">
        <v>3262</v>
      </c>
      <c r="O12" s="8">
        <v>2</v>
      </c>
      <c r="P12" s="9">
        <v>3264</v>
      </c>
      <c r="Q12" s="9">
        <v>23208</v>
      </c>
      <c r="R12" s="9">
        <v>394</v>
      </c>
      <c r="S12" s="9">
        <v>23602</v>
      </c>
    </row>
    <row r="13" spans="1:19" ht="13.5">
      <c r="A13" s="21" t="s">
        <v>7</v>
      </c>
      <c r="B13" s="22">
        <f>B14-SUM(B5:B12)</f>
        <v>0</v>
      </c>
      <c r="C13" s="22">
        <f t="shared" ref="C13:S13" si="0">C14-SUM(C5:C12)</f>
        <v>0</v>
      </c>
      <c r="D13" s="23">
        <f t="shared" si="0"/>
        <v>0</v>
      </c>
      <c r="E13" s="22">
        <f t="shared" si="0"/>
        <v>3</v>
      </c>
      <c r="F13" s="22">
        <f t="shared" si="0"/>
        <v>4</v>
      </c>
      <c r="G13" s="23">
        <f t="shared" si="0"/>
        <v>7</v>
      </c>
      <c r="H13" s="22">
        <f t="shared" si="0"/>
        <v>8</v>
      </c>
      <c r="I13" s="22">
        <f t="shared" si="0"/>
        <v>44</v>
      </c>
      <c r="J13" s="23">
        <f t="shared" si="0"/>
        <v>52</v>
      </c>
      <c r="K13" s="22">
        <f t="shared" si="0"/>
        <v>34</v>
      </c>
      <c r="L13" s="22">
        <f t="shared" si="0"/>
        <v>163</v>
      </c>
      <c r="M13" s="23">
        <f t="shared" si="0"/>
        <v>197</v>
      </c>
      <c r="N13" s="22">
        <f t="shared" si="0"/>
        <v>9</v>
      </c>
      <c r="O13" s="22">
        <f t="shared" si="0"/>
        <v>0</v>
      </c>
      <c r="P13" s="23">
        <f t="shared" si="0"/>
        <v>9</v>
      </c>
      <c r="Q13" s="23">
        <f t="shared" si="0"/>
        <v>54</v>
      </c>
      <c r="R13" s="23">
        <f t="shared" si="0"/>
        <v>211</v>
      </c>
      <c r="S13" s="23">
        <f t="shared" si="0"/>
        <v>265</v>
      </c>
    </row>
    <row r="14" spans="1:19" ht="13.5">
      <c r="A14" s="20" t="s">
        <v>1</v>
      </c>
      <c r="B14" s="22">
        <v>20370</v>
      </c>
      <c r="C14" s="22">
        <v>15723</v>
      </c>
      <c r="D14" s="23">
        <v>36093</v>
      </c>
      <c r="E14" s="22">
        <v>20463</v>
      </c>
      <c r="F14" s="22">
        <v>11134</v>
      </c>
      <c r="G14" s="23">
        <v>31597</v>
      </c>
      <c r="H14" s="22">
        <v>21212</v>
      </c>
      <c r="I14" s="22">
        <v>10223</v>
      </c>
      <c r="J14" s="23">
        <v>31435</v>
      </c>
      <c r="K14" s="22">
        <v>31462</v>
      </c>
      <c r="L14" s="22">
        <v>18726</v>
      </c>
      <c r="M14" s="9">
        <v>50188</v>
      </c>
      <c r="N14" s="8">
        <v>27529</v>
      </c>
      <c r="O14" s="8">
        <v>3720</v>
      </c>
      <c r="P14" s="9">
        <v>31249</v>
      </c>
      <c r="Q14" s="9">
        <v>121036</v>
      </c>
      <c r="R14" s="9">
        <v>59526</v>
      </c>
      <c r="S14" s="9">
        <v>180562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topLeftCell="B1" zoomScale="80" zoomScaleSheetLayoutView="8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28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28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9439</v>
      </c>
      <c r="C5" s="8">
        <v>5442</v>
      </c>
      <c r="D5" s="9">
        <v>14881</v>
      </c>
      <c r="E5" s="8">
        <v>2</v>
      </c>
      <c r="F5" s="8">
        <v>3</v>
      </c>
      <c r="G5" s="9">
        <v>5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9441</v>
      </c>
      <c r="R5" s="9">
        <v>5445</v>
      </c>
      <c r="S5" s="9">
        <v>14886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4062</v>
      </c>
      <c r="F6" s="8">
        <v>2760</v>
      </c>
      <c r="G6" s="9">
        <v>6822</v>
      </c>
      <c r="H6" s="8">
        <v>3247</v>
      </c>
      <c r="I6" s="8">
        <v>2003</v>
      </c>
      <c r="J6" s="9">
        <v>5250</v>
      </c>
      <c r="K6" s="8">
        <v>5115</v>
      </c>
      <c r="L6" s="8">
        <v>3065</v>
      </c>
      <c r="M6" s="9">
        <v>8180</v>
      </c>
      <c r="N6" s="8">
        <v>6294</v>
      </c>
      <c r="O6" s="8">
        <v>3412</v>
      </c>
      <c r="P6" s="9">
        <v>9706</v>
      </c>
      <c r="Q6" s="9">
        <v>18718</v>
      </c>
      <c r="R6" s="9">
        <v>11240</v>
      </c>
      <c r="S6" s="9">
        <v>29958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9491</v>
      </c>
      <c r="F7" s="8">
        <v>7011</v>
      </c>
      <c r="G7" s="9">
        <v>16502</v>
      </c>
      <c r="H7" s="8">
        <v>9046</v>
      </c>
      <c r="I7" s="8">
        <v>7294</v>
      </c>
      <c r="J7" s="9">
        <v>16340</v>
      </c>
      <c r="K7" s="8">
        <v>14398</v>
      </c>
      <c r="L7" s="8">
        <v>13894</v>
      </c>
      <c r="M7" s="9">
        <v>28292</v>
      </c>
      <c r="N7" s="8">
        <v>11282</v>
      </c>
      <c r="O7" s="8">
        <v>217</v>
      </c>
      <c r="P7" s="9">
        <v>11499</v>
      </c>
      <c r="Q7" s="9">
        <v>44217</v>
      </c>
      <c r="R7" s="9">
        <v>28416</v>
      </c>
      <c r="S7" s="9">
        <v>72633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1897</v>
      </c>
      <c r="F8" s="8">
        <v>1341</v>
      </c>
      <c r="G8" s="9">
        <v>3238</v>
      </c>
      <c r="H8" s="8">
        <v>1424</v>
      </c>
      <c r="I8" s="8">
        <v>831</v>
      </c>
      <c r="J8" s="9">
        <v>2255</v>
      </c>
      <c r="K8" s="8">
        <v>2185</v>
      </c>
      <c r="L8" s="8">
        <v>1256</v>
      </c>
      <c r="M8" s="9">
        <v>3441</v>
      </c>
      <c r="N8" s="8">
        <v>1253</v>
      </c>
      <c r="O8" s="8">
        <v>11</v>
      </c>
      <c r="P8" s="9">
        <v>1264</v>
      </c>
      <c r="Q8" s="9">
        <v>6759</v>
      </c>
      <c r="R8" s="9">
        <v>3439</v>
      </c>
      <c r="S8" s="9">
        <v>10198</v>
      </c>
    </row>
    <row r="9" spans="1:19" ht="13.5">
      <c r="A9" s="7" t="s">
        <v>0</v>
      </c>
      <c r="B9" s="8">
        <v>10915</v>
      </c>
      <c r="C9" s="8">
        <v>10223</v>
      </c>
      <c r="D9" s="9">
        <v>21138</v>
      </c>
      <c r="E9" s="8">
        <v>0</v>
      </c>
      <c r="F9" s="8">
        <v>4</v>
      </c>
      <c r="G9" s="9">
        <v>4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10915</v>
      </c>
      <c r="R9" s="9">
        <v>10227</v>
      </c>
      <c r="S9" s="9">
        <v>21142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8</v>
      </c>
      <c r="L10" s="8">
        <v>17</v>
      </c>
      <c r="M10" s="9">
        <v>25</v>
      </c>
      <c r="N10" s="8">
        <v>14</v>
      </c>
      <c r="O10" s="8">
        <v>0</v>
      </c>
      <c r="P10" s="9">
        <v>14</v>
      </c>
      <c r="Q10" s="9">
        <v>22</v>
      </c>
      <c r="R10" s="9">
        <v>19</v>
      </c>
      <c r="S10" s="9">
        <v>41</v>
      </c>
    </row>
    <row r="11" spans="1:19" ht="13.5">
      <c r="A11" s="7" t="s">
        <v>6</v>
      </c>
      <c r="B11" s="8">
        <v>39</v>
      </c>
      <c r="C11" s="8">
        <v>35</v>
      </c>
      <c r="D11" s="9">
        <v>74</v>
      </c>
      <c r="E11" s="8">
        <v>5</v>
      </c>
      <c r="F11" s="8">
        <v>2</v>
      </c>
      <c r="G11" s="9">
        <v>7</v>
      </c>
      <c r="H11" s="8">
        <v>467</v>
      </c>
      <c r="I11" s="8">
        <v>2</v>
      </c>
      <c r="J11" s="9">
        <v>469</v>
      </c>
      <c r="K11" s="8">
        <v>1808</v>
      </c>
      <c r="L11" s="8">
        <v>31</v>
      </c>
      <c r="M11" s="9">
        <v>1839</v>
      </c>
      <c r="N11" s="8">
        <v>5461</v>
      </c>
      <c r="O11" s="8">
        <v>109</v>
      </c>
      <c r="P11" s="9">
        <v>5570</v>
      </c>
      <c r="Q11" s="9">
        <v>7780</v>
      </c>
      <c r="R11" s="9">
        <v>179</v>
      </c>
      <c r="S11" s="9">
        <v>7959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4973</v>
      </c>
      <c r="F12" s="8">
        <v>19</v>
      </c>
      <c r="G12" s="9">
        <v>4992</v>
      </c>
      <c r="H12" s="8">
        <v>7015</v>
      </c>
      <c r="I12" s="8">
        <v>98</v>
      </c>
      <c r="J12" s="9">
        <v>7113</v>
      </c>
      <c r="K12" s="8">
        <v>8014</v>
      </c>
      <c r="L12" s="8">
        <v>270</v>
      </c>
      <c r="M12" s="9">
        <v>8284</v>
      </c>
      <c r="N12" s="8">
        <v>3310</v>
      </c>
      <c r="O12" s="8">
        <v>1</v>
      </c>
      <c r="P12" s="9">
        <v>3311</v>
      </c>
      <c r="Q12" s="9">
        <v>23312</v>
      </c>
      <c r="R12" s="9">
        <v>388</v>
      </c>
      <c r="S12" s="9">
        <v>23700</v>
      </c>
    </row>
    <row r="13" spans="1:19" ht="13.5">
      <c r="A13" s="21" t="s">
        <v>7</v>
      </c>
      <c r="B13" s="22">
        <f>B14-SUM(B5:B12)</f>
        <v>0</v>
      </c>
      <c r="C13" s="22">
        <f t="shared" ref="C13:S13" si="0">C14-SUM(C5:C12)</f>
        <v>0</v>
      </c>
      <c r="D13" s="23">
        <f t="shared" si="0"/>
        <v>0</v>
      </c>
      <c r="E13" s="22">
        <f t="shared" si="0"/>
        <v>3</v>
      </c>
      <c r="F13" s="22">
        <f t="shared" si="0"/>
        <v>4</v>
      </c>
      <c r="G13" s="23">
        <f t="shared" si="0"/>
        <v>7</v>
      </c>
      <c r="H13" s="22">
        <f t="shared" si="0"/>
        <v>8</v>
      </c>
      <c r="I13" s="22">
        <f t="shared" si="0"/>
        <v>43</v>
      </c>
      <c r="J13" s="23">
        <f t="shared" si="0"/>
        <v>51</v>
      </c>
      <c r="K13" s="22">
        <f t="shared" si="0"/>
        <v>34</v>
      </c>
      <c r="L13" s="22">
        <f t="shared" si="0"/>
        <v>160</v>
      </c>
      <c r="M13" s="23">
        <f t="shared" si="0"/>
        <v>194</v>
      </c>
      <c r="N13" s="22">
        <f t="shared" si="0"/>
        <v>9</v>
      </c>
      <c r="O13" s="22">
        <f t="shared" si="0"/>
        <v>0</v>
      </c>
      <c r="P13" s="23">
        <f t="shared" si="0"/>
        <v>9</v>
      </c>
      <c r="Q13" s="23">
        <f t="shared" si="0"/>
        <v>54</v>
      </c>
      <c r="R13" s="23">
        <f t="shared" si="0"/>
        <v>207</v>
      </c>
      <c r="S13" s="23">
        <f t="shared" si="0"/>
        <v>261</v>
      </c>
    </row>
    <row r="14" spans="1:19" ht="13.5">
      <c r="A14" s="20" t="s">
        <v>1</v>
      </c>
      <c r="B14" s="22">
        <v>20393</v>
      </c>
      <c r="C14" s="22">
        <v>15700</v>
      </c>
      <c r="D14" s="23">
        <v>36093</v>
      </c>
      <c r="E14" s="22">
        <v>20433</v>
      </c>
      <c r="F14" s="22">
        <v>11144</v>
      </c>
      <c r="G14" s="23">
        <v>31577</v>
      </c>
      <c r="H14" s="22">
        <v>21207</v>
      </c>
      <c r="I14" s="22">
        <v>10273</v>
      </c>
      <c r="J14" s="23">
        <v>31480</v>
      </c>
      <c r="K14" s="22">
        <v>31562</v>
      </c>
      <c r="L14" s="22">
        <v>18693</v>
      </c>
      <c r="M14" s="9">
        <v>50255</v>
      </c>
      <c r="N14" s="8">
        <v>27623</v>
      </c>
      <c r="O14" s="8">
        <v>3750</v>
      </c>
      <c r="P14" s="9">
        <v>31373</v>
      </c>
      <c r="Q14" s="9">
        <v>121218</v>
      </c>
      <c r="R14" s="9">
        <v>59560</v>
      </c>
      <c r="S14" s="9">
        <v>180778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="70" zoomScaleSheetLayoutView="70" workbookViewId="0">
      <selection activeCell="B5" sqref="B5:S12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29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29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9511</v>
      </c>
      <c r="C5" s="8">
        <v>5477</v>
      </c>
      <c r="D5" s="9">
        <v>14988</v>
      </c>
      <c r="E5" s="8">
        <v>2</v>
      </c>
      <c r="F5" s="8">
        <v>1</v>
      </c>
      <c r="G5" s="9">
        <v>3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9513</v>
      </c>
      <c r="R5" s="9">
        <v>5478</v>
      </c>
      <c r="S5" s="9">
        <v>14991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4061</v>
      </c>
      <c r="F6" s="8">
        <v>2766</v>
      </c>
      <c r="G6" s="9">
        <v>6827</v>
      </c>
      <c r="H6" s="8">
        <v>3245</v>
      </c>
      <c r="I6" s="8">
        <v>2021</v>
      </c>
      <c r="J6" s="9">
        <v>5266</v>
      </c>
      <c r="K6" s="8">
        <v>5116</v>
      </c>
      <c r="L6" s="8">
        <v>3054</v>
      </c>
      <c r="M6" s="9">
        <v>8170</v>
      </c>
      <c r="N6" s="8">
        <v>6299</v>
      </c>
      <c r="O6" s="8">
        <v>3433</v>
      </c>
      <c r="P6" s="9">
        <v>9732</v>
      </c>
      <c r="Q6" s="9">
        <v>18721</v>
      </c>
      <c r="R6" s="9">
        <v>11274</v>
      </c>
      <c r="S6" s="9">
        <v>29995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9471</v>
      </c>
      <c r="F7" s="8">
        <v>7038</v>
      </c>
      <c r="G7" s="9">
        <v>16509</v>
      </c>
      <c r="H7" s="8">
        <v>9050</v>
      </c>
      <c r="I7" s="8">
        <v>7277</v>
      </c>
      <c r="J7" s="9">
        <v>16327</v>
      </c>
      <c r="K7" s="8">
        <v>14375</v>
      </c>
      <c r="L7" s="8">
        <v>13857</v>
      </c>
      <c r="M7" s="9">
        <v>28232</v>
      </c>
      <c r="N7" s="8">
        <v>11316</v>
      </c>
      <c r="O7" s="8">
        <v>224</v>
      </c>
      <c r="P7" s="9">
        <v>11540</v>
      </c>
      <c r="Q7" s="9">
        <v>44212</v>
      </c>
      <c r="R7" s="9">
        <v>28396</v>
      </c>
      <c r="S7" s="9">
        <v>72608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1893</v>
      </c>
      <c r="F8" s="8">
        <v>1333</v>
      </c>
      <c r="G8" s="9">
        <v>3226</v>
      </c>
      <c r="H8" s="8">
        <v>1409</v>
      </c>
      <c r="I8" s="8">
        <v>835</v>
      </c>
      <c r="J8" s="9">
        <v>2244</v>
      </c>
      <c r="K8" s="8">
        <v>2192</v>
      </c>
      <c r="L8" s="8">
        <v>1250</v>
      </c>
      <c r="M8" s="9">
        <v>3442</v>
      </c>
      <c r="N8" s="8">
        <v>1248</v>
      </c>
      <c r="O8" s="8">
        <v>11</v>
      </c>
      <c r="P8" s="9">
        <v>1259</v>
      </c>
      <c r="Q8" s="9">
        <v>6742</v>
      </c>
      <c r="R8" s="9">
        <v>3429</v>
      </c>
      <c r="S8" s="9">
        <v>10171</v>
      </c>
    </row>
    <row r="9" spans="1:19" ht="13.5">
      <c r="A9" s="7" t="s">
        <v>0</v>
      </c>
      <c r="B9" s="8">
        <v>10930</v>
      </c>
      <c r="C9" s="8">
        <v>10241</v>
      </c>
      <c r="D9" s="9">
        <v>21171</v>
      </c>
      <c r="E9" s="8">
        <v>2</v>
      </c>
      <c r="F9" s="8">
        <v>3</v>
      </c>
      <c r="G9" s="9">
        <v>5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10932</v>
      </c>
      <c r="R9" s="9">
        <v>10244</v>
      </c>
      <c r="S9" s="9">
        <v>21176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8</v>
      </c>
      <c r="L10" s="8">
        <v>16</v>
      </c>
      <c r="M10" s="9">
        <v>24</v>
      </c>
      <c r="N10" s="8">
        <v>14</v>
      </c>
      <c r="O10" s="8">
        <v>0</v>
      </c>
      <c r="P10" s="9">
        <v>14</v>
      </c>
      <c r="Q10" s="9">
        <v>22</v>
      </c>
      <c r="R10" s="9">
        <v>18</v>
      </c>
      <c r="S10" s="9">
        <v>40</v>
      </c>
    </row>
    <row r="11" spans="1:19" ht="13.5">
      <c r="A11" s="7" t="s">
        <v>6</v>
      </c>
      <c r="B11" s="8">
        <v>38</v>
      </c>
      <c r="C11" s="8">
        <v>36</v>
      </c>
      <c r="D11" s="9">
        <v>74</v>
      </c>
      <c r="E11" s="8">
        <v>6</v>
      </c>
      <c r="F11" s="8">
        <v>2</v>
      </c>
      <c r="G11" s="9">
        <v>8</v>
      </c>
      <c r="H11" s="8">
        <v>463</v>
      </c>
      <c r="I11" s="8">
        <v>2</v>
      </c>
      <c r="J11" s="9">
        <v>465</v>
      </c>
      <c r="K11" s="8">
        <v>1806</v>
      </c>
      <c r="L11" s="8">
        <v>32</v>
      </c>
      <c r="M11" s="9">
        <v>1838</v>
      </c>
      <c r="N11" s="8">
        <v>5476</v>
      </c>
      <c r="O11" s="8">
        <v>110</v>
      </c>
      <c r="P11" s="9">
        <v>5586</v>
      </c>
      <c r="Q11" s="9">
        <v>7789</v>
      </c>
      <c r="R11" s="9">
        <v>182</v>
      </c>
      <c r="S11" s="9">
        <v>7971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4919</v>
      </c>
      <c r="F12" s="8">
        <v>19</v>
      </c>
      <c r="G12" s="9">
        <v>4938</v>
      </c>
      <c r="H12" s="8">
        <v>7004</v>
      </c>
      <c r="I12" s="8">
        <v>101</v>
      </c>
      <c r="J12" s="9">
        <v>7105</v>
      </c>
      <c r="K12" s="8">
        <v>8066</v>
      </c>
      <c r="L12" s="8">
        <v>272</v>
      </c>
      <c r="M12" s="9">
        <v>8338</v>
      </c>
      <c r="N12" s="8">
        <v>3354</v>
      </c>
      <c r="O12" s="8">
        <v>1</v>
      </c>
      <c r="P12" s="9">
        <v>3355</v>
      </c>
      <c r="Q12" s="9">
        <v>23343</v>
      </c>
      <c r="R12" s="9">
        <v>393</v>
      </c>
      <c r="S12" s="9">
        <v>23736</v>
      </c>
    </row>
    <row r="13" spans="1:19" ht="13.5">
      <c r="A13" s="21" t="s">
        <v>7</v>
      </c>
      <c r="B13" s="22">
        <f>B14-SUM(B5:B12)</f>
        <v>0</v>
      </c>
      <c r="C13" s="22">
        <f t="shared" ref="C13:S13" si="0">C14-SUM(C5:C12)</f>
        <v>0</v>
      </c>
      <c r="D13" s="23">
        <f t="shared" si="0"/>
        <v>0</v>
      </c>
      <c r="E13" s="22">
        <f t="shared" si="0"/>
        <v>3</v>
      </c>
      <c r="F13" s="22">
        <f t="shared" si="0"/>
        <v>4</v>
      </c>
      <c r="G13" s="23">
        <f t="shared" si="0"/>
        <v>7</v>
      </c>
      <c r="H13" s="22">
        <f t="shared" si="0"/>
        <v>8</v>
      </c>
      <c r="I13" s="22">
        <f t="shared" si="0"/>
        <v>42</v>
      </c>
      <c r="J13" s="23">
        <f t="shared" si="0"/>
        <v>50</v>
      </c>
      <c r="K13" s="22">
        <f t="shared" si="0"/>
        <v>34</v>
      </c>
      <c r="L13" s="22">
        <f t="shared" si="0"/>
        <v>156</v>
      </c>
      <c r="M13" s="23">
        <f t="shared" si="0"/>
        <v>190</v>
      </c>
      <c r="N13" s="22">
        <f t="shared" si="0"/>
        <v>9</v>
      </c>
      <c r="O13" s="22">
        <f t="shared" si="0"/>
        <v>0</v>
      </c>
      <c r="P13" s="23">
        <f t="shared" si="0"/>
        <v>9</v>
      </c>
      <c r="Q13" s="23">
        <f t="shared" si="0"/>
        <v>54</v>
      </c>
      <c r="R13" s="23">
        <f t="shared" si="0"/>
        <v>202</v>
      </c>
      <c r="S13" s="23">
        <f t="shared" si="0"/>
        <v>256</v>
      </c>
    </row>
    <row r="14" spans="1:19" ht="13.5">
      <c r="A14" s="20" t="s">
        <v>1</v>
      </c>
      <c r="B14" s="22">
        <v>20479</v>
      </c>
      <c r="C14" s="22">
        <v>15754</v>
      </c>
      <c r="D14" s="23">
        <v>36233</v>
      </c>
      <c r="E14" s="22">
        <v>20357</v>
      </c>
      <c r="F14" s="22">
        <v>11166</v>
      </c>
      <c r="G14" s="23">
        <v>31523</v>
      </c>
      <c r="H14" s="22">
        <v>21179</v>
      </c>
      <c r="I14" s="22">
        <v>10280</v>
      </c>
      <c r="J14" s="23">
        <v>31459</v>
      </c>
      <c r="K14" s="22">
        <v>31597</v>
      </c>
      <c r="L14" s="22">
        <v>18637</v>
      </c>
      <c r="M14" s="9">
        <v>50234</v>
      </c>
      <c r="N14" s="8">
        <v>27716</v>
      </c>
      <c r="O14" s="8">
        <v>3779</v>
      </c>
      <c r="P14" s="9">
        <v>31495</v>
      </c>
      <c r="Q14" s="9">
        <v>121328</v>
      </c>
      <c r="R14" s="9">
        <v>59616</v>
      </c>
      <c r="S14" s="9">
        <v>180944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topLeftCell="B1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30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30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9668</v>
      </c>
      <c r="C5" s="8">
        <v>5529</v>
      </c>
      <c r="D5" s="9">
        <v>15197</v>
      </c>
      <c r="E5" s="8">
        <v>1</v>
      </c>
      <c r="F5" s="8">
        <v>1</v>
      </c>
      <c r="G5" s="9">
        <v>2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9669</v>
      </c>
      <c r="R5" s="9">
        <v>5530</v>
      </c>
      <c r="S5" s="9">
        <v>15199</v>
      </c>
    </row>
    <row r="6" spans="1:19" ht="13.5">
      <c r="A6" s="7" t="s">
        <v>16</v>
      </c>
      <c r="B6" s="8">
        <v>0</v>
      </c>
      <c r="C6" s="8">
        <v>0</v>
      </c>
      <c r="D6" s="9">
        <v>0</v>
      </c>
      <c r="E6" s="8">
        <v>4014</v>
      </c>
      <c r="F6" s="8">
        <v>2742</v>
      </c>
      <c r="G6" s="9">
        <v>6756</v>
      </c>
      <c r="H6" s="8">
        <v>3222</v>
      </c>
      <c r="I6" s="8">
        <v>2046</v>
      </c>
      <c r="J6" s="9">
        <v>5268</v>
      </c>
      <c r="K6" s="8">
        <v>5119</v>
      </c>
      <c r="L6" s="8">
        <v>3027</v>
      </c>
      <c r="M6" s="9">
        <v>8146</v>
      </c>
      <c r="N6" s="8">
        <v>6313</v>
      </c>
      <c r="O6" s="8">
        <v>3437</v>
      </c>
      <c r="P6" s="9">
        <v>9750</v>
      </c>
      <c r="Q6" s="9">
        <v>18668</v>
      </c>
      <c r="R6" s="9">
        <v>11252</v>
      </c>
      <c r="S6" s="9">
        <v>29920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9515</v>
      </c>
      <c r="F7" s="8">
        <v>7061</v>
      </c>
      <c r="G7" s="9">
        <v>16576</v>
      </c>
      <c r="H7" s="8">
        <v>9064</v>
      </c>
      <c r="I7" s="8">
        <v>7299</v>
      </c>
      <c r="J7" s="9">
        <v>16363</v>
      </c>
      <c r="K7" s="8">
        <v>14384</v>
      </c>
      <c r="L7" s="8">
        <v>13843</v>
      </c>
      <c r="M7" s="9">
        <v>28227</v>
      </c>
      <c r="N7" s="8">
        <v>11418</v>
      </c>
      <c r="O7" s="8">
        <v>217</v>
      </c>
      <c r="P7" s="9">
        <v>11635</v>
      </c>
      <c r="Q7" s="9">
        <v>44381</v>
      </c>
      <c r="R7" s="9">
        <v>28420</v>
      </c>
      <c r="S7" s="9">
        <v>72801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1891</v>
      </c>
      <c r="F8" s="8">
        <v>1322</v>
      </c>
      <c r="G8" s="9">
        <v>3213</v>
      </c>
      <c r="H8" s="8">
        <v>1404</v>
      </c>
      <c r="I8" s="8">
        <v>834</v>
      </c>
      <c r="J8" s="9">
        <v>2238</v>
      </c>
      <c r="K8" s="8">
        <v>2178</v>
      </c>
      <c r="L8" s="8">
        <v>1240</v>
      </c>
      <c r="M8" s="9">
        <v>3418</v>
      </c>
      <c r="N8" s="8">
        <v>1238</v>
      </c>
      <c r="O8" s="8">
        <v>8</v>
      </c>
      <c r="P8" s="9">
        <v>1246</v>
      </c>
      <c r="Q8" s="9">
        <v>6711</v>
      </c>
      <c r="R8" s="9">
        <v>3404</v>
      </c>
      <c r="S8" s="9">
        <v>10115</v>
      </c>
    </row>
    <row r="9" spans="1:19" ht="13.5">
      <c r="A9" s="7" t="s">
        <v>0</v>
      </c>
      <c r="B9" s="8">
        <v>10883</v>
      </c>
      <c r="C9" s="8">
        <v>10203</v>
      </c>
      <c r="D9" s="9">
        <v>21086</v>
      </c>
      <c r="E9" s="8">
        <v>3</v>
      </c>
      <c r="F9" s="8">
        <v>6</v>
      </c>
      <c r="G9" s="9">
        <v>9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10886</v>
      </c>
      <c r="R9" s="9">
        <v>10209</v>
      </c>
      <c r="S9" s="9">
        <v>21095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8</v>
      </c>
      <c r="L10" s="8">
        <v>16</v>
      </c>
      <c r="M10" s="9">
        <v>24</v>
      </c>
      <c r="N10" s="8">
        <v>13</v>
      </c>
      <c r="O10" s="8">
        <v>0</v>
      </c>
      <c r="P10" s="9">
        <v>13</v>
      </c>
      <c r="Q10" s="9">
        <v>21</v>
      </c>
      <c r="R10" s="9">
        <v>18</v>
      </c>
      <c r="S10" s="9">
        <v>39</v>
      </c>
    </row>
    <row r="11" spans="1:19" ht="13.5">
      <c r="A11" s="7" t="s">
        <v>6</v>
      </c>
      <c r="B11" s="8">
        <v>40</v>
      </c>
      <c r="C11" s="8">
        <v>36</v>
      </c>
      <c r="D11" s="9">
        <v>76</v>
      </c>
      <c r="E11" s="8">
        <v>5</v>
      </c>
      <c r="F11" s="8">
        <v>2</v>
      </c>
      <c r="G11" s="9">
        <v>7</v>
      </c>
      <c r="H11" s="8">
        <v>469</v>
      </c>
      <c r="I11" s="8">
        <v>2</v>
      </c>
      <c r="J11" s="9">
        <v>471</v>
      </c>
      <c r="K11" s="8">
        <v>1799</v>
      </c>
      <c r="L11" s="8">
        <v>33</v>
      </c>
      <c r="M11" s="9">
        <v>1832</v>
      </c>
      <c r="N11" s="8">
        <v>5482</v>
      </c>
      <c r="O11" s="8">
        <v>110</v>
      </c>
      <c r="P11" s="9">
        <v>5592</v>
      </c>
      <c r="Q11" s="9">
        <v>7795</v>
      </c>
      <c r="R11" s="9">
        <v>183</v>
      </c>
      <c r="S11" s="9">
        <v>7978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4875</v>
      </c>
      <c r="F12" s="8">
        <v>20</v>
      </c>
      <c r="G12" s="9">
        <v>4895</v>
      </c>
      <c r="H12" s="8">
        <v>7009</v>
      </c>
      <c r="I12" s="8">
        <v>99</v>
      </c>
      <c r="J12" s="9">
        <v>7108</v>
      </c>
      <c r="K12" s="8">
        <v>8134</v>
      </c>
      <c r="L12" s="8">
        <v>273</v>
      </c>
      <c r="M12" s="9">
        <v>8407</v>
      </c>
      <c r="N12" s="8">
        <v>3384</v>
      </c>
      <c r="O12" s="8">
        <v>1</v>
      </c>
      <c r="P12" s="9">
        <v>3385</v>
      </c>
      <c r="Q12" s="9">
        <v>23402</v>
      </c>
      <c r="R12" s="9">
        <v>393</v>
      </c>
      <c r="S12" s="9">
        <v>23795</v>
      </c>
    </row>
    <row r="13" spans="1:19" ht="13.5">
      <c r="A13" s="21" t="s">
        <v>7</v>
      </c>
      <c r="B13" s="22">
        <f>B14-SUM(B5:B12)</f>
        <v>0</v>
      </c>
      <c r="C13" s="22">
        <f t="shared" ref="C13:S13" si="0">C14-SUM(C5:C12)</f>
        <v>0</v>
      </c>
      <c r="D13" s="23">
        <f t="shared" si="0"/>
        <v>0</v>
      </c>
      <c r="E13" s="22">
        <f t="shared" si="0"/>
        <v>3</v>
      </c>
      <c r="F13" s="22">
        <f t="shared" si="0"/>
        <v>4</v>
      </c>
      <c r="G13" s="23">
        <f t="shared" si="0"/>
        <v>7</v>
      </c>
      <c r="H13" s="22">
        <f t="shared" si="0"/>
        <v>9</v>
      </c>
      <c r="I13" s="22">
        <f t="shared" si="0"/>
        <v>42</v>
      </c>
      <c r="J13" s="23">
        <f t="shared" si="0"/>
        <v>51</v>
      </c>
      <c r="K13" s="22">
        <f t="shared" si="0"/>
        <v>36</v>
      </c>
      <c r="L13" s="22">
        <f t="shared" si="0"/>
        <v>153</v>
      </c>
      <c r="M13" s="23">
        <f t="shared" si="0"/>
        <v>189</v>
      </c>
      <c r="N13" s="22">
        <f t="shared" si="0"/>
        <v>9</v>
      </c>
      <c r="O13" s="22">
        <f t="shared" si="0"/>
        <v>0</v>
      </c>
      <c r="P13" s="23">
        <f t="shared" si="0"/>
        <v>9</v>
      </c>
      <c r="Q13" s="23">
        <f t="shared" si="0"/>
        <v>57</v>
      </c>
      <c r="R13" s="23">
        <f t="shared" si="0"/>
        <v>199</v>
      </c>
      <c r="S13" s="23">
        <f t="shared" si="0"/>
        <v>256</v>
      </c>
    </row>
    <row r="14" spans="1:19" ht="13.5">
      <c r="A14" s="20" t="s">
        <v>1</v>
      </c>
      <c r="B14" s="22">
        <v>20591</v>
      </c>
      <c r="C14" s="22">
        <v>15768</v>
      </c>
      <c r="D14" s="23">
        <v>36359</v>
      </c>
      <c r="E14" s="22">
        <v>20307</v>
      </c>
      <c r="F14" s="22">
        <v>11158</v>
      </c>
      <c r="G14" s="23">
        <v>31465</v>
      </c>
      <c r="H14" s="22">
        <v>21177</v>
      </c>
      <c r="I14" s="22">
        <v>10324</v>
      </c>
      <c r="J14" s="23">
        <v>31501</v>
      </c>
      <c r="K14" s="22">
        <v>31658</v>
      </c>
      <c r="L14" s="22">
        <v>18585</v>
      </c>
      <c r="M14" s="9">
        <v>50243</v>
      </c>
      <c r="N14" s="8">
        <v>27857</v>
      </c>
      <c r="O14" s="8">
        <v>3773</v>
      </c>
      <c r="P14" s="9">
        <v>31630</v>
      </c>
      <c r="Q14" s="9">
        <v>121590</v>
      </c>
      <c r="R14" s="9">
        <v>59608</v>
      </c>
      <c r="S14" s="9">
        <v>181198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view="pageBreakPreview" zoomScale="70" zoomScaleSheetLayoutView="70" workbookViewId="0">
      <selection activeCell="B14" sqref="B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71.25" customHeight="1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24.75" customHeight="1">
      <c r="A3" s="31"/>
      <c r="B3" s="33" t="s">
        <v>8</v>
      </c>
      <c r="C3" s="33"/>
      <c r="D3" s="33"/>
      <c r="E3" s="33" t="s">
        <v>9</v>
      </c>
      <c r="F3" s="33"/>
      <c r="G3" s="33"/>
      <c r="H3" s="33" t="s">
        <v>10</v>
      </c>
      <c r="I3" s="33"/>
      <c r="J3" s="33"/>
      <c r="K3" s="33" t="s">
        <v>11</v>
      </c>
      <c r="L3" s="33"/>
      <c r="M3" s="33"/>
      <c r="N3" s="33" t="s">
        <v>12</v>
      </c>
      <c r="O3" s="33"/>
      <c r="P3" s="33"/>
      <c r="Q3" s="33" t="s">
        <v>1</v>
      </c>
      <c r="R3" s="33"/>
      <c r="S3" s="33"/>
    </row>
    <row r="4" spans="1:19" s="2" customFormat="1" ht="48.75" customHeight="1">
      <c r="A4" s="31" t="s">
        <v>4</v>
      </c>
      <c r="B4" s="11" t="s">
        <v>2</v>
      </c>
      <c r="C4" s="11" t="s">
        <v>3</v>
      </c>
      <c r="D4" s="12" t="s">
        <v>1</v>
      </c>
      <c r="E4" s="11" t="s">
        <v>2</v>
      </c>
      <c r="F4" s="11" t="s">
        <v>3</v>
      </c>
      <c r="G4" s="12" t="s">
        <v>1</v>
      </c>
      <c r="H4" s="11" t="s">
        <v>2</v>
      </c>
      <c r="I4" s="11" t="s">
        <v>3</v>
      </c>
      <c r="J4" s="12" t="s">
        <v>1</v>
      </c>
      <c r="K4" s="11" t="s">
        <v>2</v>
      </c>
      <c r="L4" s="11" t="s">
        <v>3</v>
      </c>
      <c r="M4" s="12" t="s">
        <v>1</v>
      </c>
      <c r="N4" s="11" t="s">
        <v>2</v>
      </c>
      <c r="O4" s="11" t="s">
        <v>3</v>
      </c>
      <c r="P4" s="12" t="s">
        <v>1</v>
      </c>
      <c r="Q4" s="12" t="s">
        <v>13</v>
      </c>
      <c r="R4" s="12" t="s">
        <v>14</v>
      </c>
      <c r="S4" s="12" t="s">
        <v>1</v>
      </c>
    </row>
    <row r="5" spans="1:19" ht="13.5">
      <c r="A5" s="7" t="s">
        <v>15</v>
      </c>
      <c r="B5" s="8">
        <v>9818</v>
      </c>
      <c r="C5" s="8">
        <v>5615</v>
      </c>
      <c r="D5" s="9">
        <v>15433</v>
      </c>
      <c r="E5" s="8">
        <v>1</v>
      </c>
      <c r="F5" s="8">
        <v>0</v>
      </c>
      <c r="G5" s="9">
        <v>1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9819</v>
      </c>
      <c r="R5" s="9">
        <v>5615</v>
      </c>
      <c r="S5" s="9">
        <v>15434</v>
      </c>
    </row>
    <row r="6" spans="1:19" ht="13.5">
      <c r="A6" s="7" t="s">
        <v>16</v>
      </c>
      <c r="B6" s="8">
        <v>0</v>
      </c>
      <c r="C6" s="8">
        <v>1</v>
      </c>
      <c r="D6" s="9">
        <v>1</v>
      </c>
      <c r="E6" s="8">
        <v>4063</v>
      </c>
      <c r="F6" s="8">
        <v>2750</v>
      </c>
      <c r="G6" s="9">
        <v>6813</v>
      </c>
      <c r="H6" s="8">
        <v>3228</v>
      </c>
      <c r="I6" s="8">
        <v>2056</v>
      </c>
      <c r="J6" s="9">
        <v>5284</v>
      </c>
      <c r="K6" s="8">
        <v>5153</v>
      </c>
      <c r="L6" s="8">
        <v>3046</v>
      </c>
      <c r="M6" s="9">
        <v>8199</v>
      </c>
      <c r="N6" s="8">
        <v>6350</v>
      </c>
      <c r="O6" s="8">
        <v>3431</v>
      </c>
      <c r="P6" s="9">
        <v>9781</v>
      </c>
      <c r="Q6" s="9">
        <v>18794</v>
      </c>
      <c r="R6" s="9">
        <v>11284</v>
      </c>
      <c r="S6" s="9">
        <v>30078</v>
      </c>
    </row>
    <row r="7" spans="1:19" ht="13.5">
      <c r="A7" s="7" t="s">
        <v>17</v>
      </c>
      <c r="B7" s="8">
        <v>0</v>
      </c>
      <c r="C7" s="8">
        <v>0</v>
      </c>
      <c r="D7" s="9">
        <v>0</v>
      </c>
      <c r="E7" s="8">
        <v>9568</v>
      </c>
      <c r="F7" s="8">
        <v>7099</v>
      </c>
      <c r="G7" s="9">
        <v>16667</v>
      </c>
      <c r="H7" s="8">
        <v>9074</v>
      </c>
      <c r="I7" s="8">
        <v>7321</v>
      </c>
      <c r="J7" s="9">
        <v>16395</v>
      </c>
      <c r="K7" s="8">
        <v>14450</v>
      </c>
      <c r="L7" s="8">
        <v>13863</v>
      </c>
      <c r="M7" s="9">
        <v>28313</v>
      </c>
      <c r="N7" s="8">
        <v>11427</v>
      </c>
      <c r="O7" s="8">
        <v>208</v>
      </c>
      <c r="P7" s="9">
        <v>11635</v>
      </c>
      <c r="Q7" s="9">
        <v>44519</v>
      </c>
      <c r="R7" s="9">
        <v>28491</v>
      </c>
      <c r="S7" s="9">
        <v>73010</v>
      </c>
    </row>
    <row r="8" spans="1:19" ht="13.5">
      <c r="A8" s="7" t="s">
        <v>18</v>
      </c>
      <c r="B8" s="8">
        <v>0</v>
      </c>
      <c r="C8" s="8">
        <v>0</v>
      </c>
      <c r="D8" s="9">
        <v>0</v>
      </c>
      <c r="E8" s="8">
        <v>1896</v>
      </c>
      <c r="F8" s="8">
        <v>1335</v>
      </c>
      <c r="G8" s="9">
        <v>3231</v>
      </c>
      <c r="H8" s="8">
        <v>1392</v>
      </c>
      <c r="I8" s="8">
        <v>829</v>
      </c>
      <c r="J8" s="9">
        <v>2221</v>
      </c>
      <c r="K8" s="8">
        <v>2175</v>
      </c>
      <c r="L8" s="8">
        <v>1227</v>
      </c>
      <c r="M8" s="9">
        <v>3402</v>
      </c>
      <c r="N8" s="8">
        <v>1229</v>
      </c>
      <c r="O8" s="8">
        <v>8</v>
      </c>
      <c r="P8" s="9">
        <v>1237</v>
      </c>
      <c r="Q8" s="9">
        <v>6692</v>
      </c>
      <c r="R8" s="9">
        <v>3399</v>
      </c>
      <c r="S8" s="9">
        <v>10091</v>
      </c>
    </row>
    <row r="9" spans="1:19" ht="13.5">
      <c r="A9" s="7" t="s">
        <v>0</v>
      </c>
      <c r="B9" s="8">
        <v>10872</v>
      </c>
      <c r="C9" s="8">
        <v>10211</v>
      </c>
      <c r="D9" s="9">
        <v>21083</v>
      </c>
      <c r="E9" s="8">
        <v>7</v>
      </c>
      <c r="F9" s="8">
        <v>3</v>
      </c>
      <c r="G9" s="9">
        <v>10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9">
        <v>0</v>
      </c>
      <c r="Q9" s="9">
        <v>10879</v>
      </c>
      <c r="R9" s="9">
        <v>10214</v>
      </c>
      <c r="S9" s="9">
        <v>21093</v>
      </c>
    </row>
    <row r="10" spans="1:19" ht="13.5">
      <c r="A10" s="7" t="s">
        <v>5</v>
      </c>
      <c r="B10" s="8">
        <v>0</v>
      </c>
      <c r="C10" s="8">
        <v>0</v>
      </c>
      <c r="D10" s="9">
        <v>0</v>
      </c>
      <c r="E10" s="8">
        <v>0</v>
      </c>
      <c r="F10" s="8">
        <v>0</v>
      </c>
      <c r="G10" s="9">
        <v>0</v>
      </c>
      <c r="H10" s="8">
        <v>0</v>
      </c>
      <c r="I10" s="8">
        <v>2</v>
      </c>
      <c r="J10" s="9">
        <v>2</v>
      </c>
      <c r="K10" s="8">
        <v>8</v>
      </c>
      <c r="L10" s="8">
        <v>16</v>
      </c>
      <c r="M10" s="9">
        <v>24</v>
      </c>
      <c r="N10" s="8">
        <v>14</v>
      </c>
      <c r="O10" s="8">
        <v>0</v>
      </c>
      <c r="P10" s="9">
        <v>14</v>
      </c>
      <c r="Q10" s="9">
        <v>22</v>
      </c>
      <c r="R10" s="9">
        <v>18</v>
      </c>
      <c r="S10" s="9">
        <v>40</v>
      </c>
    </row>
    <row r="11" spans="1:19" ht="13.5">
      <c r="A11" s="7" t="s">
        <v>6</v>
      </c>
      <c r="B11" s="8">
        <v>38</v>
      </c>
      <c r="C11" s="8">
        <v>32</v>
      </c>
      <c r="D11" s="9">
        <v>70</v>
      </c>
      <c r="E11" s="8">
        <v>5</v>
      </c>
      <c r="F11" s="8">
        <v>2</v>
      </c>
      <c r="G11" s="9">
        <v>7</v>
      </c>
      <c r="H11" s="8">
        <v>463</v>
      </c>
      <c r="I11" s="8">
        <v>2</v>
      </c>
      <c r="J11" s="9">
        <v>465</v>
      </c>
      <c r="K11" s="8">
        <v>1784</v>
      </c>
      <c r="L11" s="8">
        <v>33</v>
      </c>
      <c r="M11" s="9">
        <v>1817</v>
      </c>
      <c r="N11" s="8">
        <v>5496</v>
      </c>
      <c r="O11" s="8">
        <v>110</v>
      </c>
      <c r="P11" s="9">
        <v>5606</v>
      </c>
      <c r="Q11" s="9">
        <v>7786</v>
      </c>
      <c r="R11" s="9">
        <v>179</v>
      </c>
      <c r="S11" s="9">
        <v>7965</v>
      </c>
    </row>
    <row r="12" spans="1:19" ht="13.5">
      <c r="A12" s="7" t="s">
        <v>20</v>
      </c>
      <c r="B12" s="8">
        <v>0</v>
      </c>
      <c r="C12" s="8">
        <v>0</v>
      </c>
      <c r="D12" s="9">
        <v>0</v>
      </c>
      <c r="E12" s="8">
        <v>4840</v>
      </c>
      <c r="F12" s="8">
        <v>17</v>
      </c>
      <c r="G12" s="9">
        <v>4857</v>
      </c>
      <c r="H12" s="8">
        <v>7038</v>
      </c>
      <c r="I12" s="8">
        <v>100</v>
      </c>
      <c r="J12" s="9">
        <v>7138</v>
      </c>
      <c r="K12" s="8">
        <v>8200</v>
      </c>
      <c r="L12" s="8">
        <v>278</v>
      </c>
      <c r="M12" s="9">
        <v>8478</v>
      </c>
      <c r="N12" s="8">
        <v>3422</v>
      </c>
      <c r="O12" s="8">
        <v>1</v>
      </c>
      <c r="P12" s="9">
        <v>3423</v>
      </c>
      <c r="Q12" s="9">
        <v>23500</v>
      </c>
      <c r="R12" s="9">
        <v>396</v>
      </c>
      <c r="S12" s="9">
        <v>23896</v>
      </c>
    </row>
    <row r="13" spans="1:19" ht="13.5">
      <c r="A13" s="21" t="s">
        <v>7</v>
      </c>
      <c r="B13" s="22">
        <f>B14-SUM(B5:B12)</f>
        <v>0</v>
      </c>
      <c r="C13" s="22">
        <f t="shared" ref="C13:S13" si="0">C14-SUM(C5:C12)</f>
        <v>0</v>
      </c>
      <c r="D13" s="23">
        <f t="shared" si="0"/>
        <v>0</v>
      </c>
      <c r="E13" s="22">
        <f t="shared" si="0"/>
        <v>2</v>
      </c>
      <c r="F13" s="22">
        <f t="shared" si="0"/>
        <v>4</v>
      </c>
      <c r="G13" s="23">
        <f t="shared" si="0"/>
        <v>6</v>
      </c>
      <c r="H13" s="22">
        <f t="shared" si="0"/>
        <v>10</v>
      </c>
      <c r="I13" s="22">
        <f t="shared" si="0"/>
        <v>41</v>
      </c>
      <c r="J13" s="23">
        <f t="shared" si="0"/>
        <v>51</v>
      </c>
      <c r="K13" s="22">
        <f t="shared" si="0"/>
        <v>36</v>
      </c>
      <c r="L13" s="22">
        <f t="shared" si="0"/>
        <v>153</v>
      </c>
      <c r="M13" s="23">
        <f t="shared" si="0"/>
        <v>189</v>
      </c>
      <c r="N13" s="22">
        <f t="shared" si="0"/>
        <v>8</v>
      </c>
      <c r="O13" s="22">
        <f t="shared" si="0"/>
        <v>0</v>
      </c>
      <c r="P13" s="23">
        <f t="shared" si="0"/>
        <v>8</v>
      </c>
      <c r="Q13" s="23">
        <f t="shared" si="0"/>
        <v>56</v>
      </c>
      <c r="R13" s="23">
        <f t="shared" si="0"/>
        <v>198</v>
      </c>
      <c r="S13" s="23">
        <f t="shared" si="0"/>
        <v>254</v>
      </c>
    </row>
    <row r="14" spans="1:19" ht="13.5">
      <c r="A14" s="20" t="s">
        <v>1</v>
      </c>
      <c r="B14" s="22">
        <v>20728</v>
      </c>
      <c r="C14" s="22">
        <v>15859</v>
      </c>
      <c r="D14" s="23">
        <v>36587</v>
      </c>
      <c r="E14" s="22">
        <v>20382</v>
      </c>
      <c r="F14" s="22">
        <v>11210</v>
      </c>
      <c r="G14" s="23">
        <v>31592</v>
      </c>
      <c r="H14" s="22">
        <v>21205</v>
      </c>
      <c r="I14" s="22">
        <v>10351</v>
      </c>
      <c r="J14" s="23">
        <v>31556</v>
      </c>
      <c r="K14" s="22">
        <v>31806</v>
      </c>
      <c r="L14" s="22">
        <v>18616</v>
      </c>
      <c r="M14" s="9">
        <v>50422</v>
      </c>
      <c r="N14" s="8">
        <v>27946</v>
      </c>
      <c r="O14" s="8">
        <v>3758</v>
      </c>
      <c r="P14" s="9">
        <v>31704</v>
      </c>
      <c r="Q14" s="9">
        <v>122067</v>
      </c>
      <c r="R14" s="9">
        <v>59794</v>
      </c>
      <c r="S14" s="9">
        <v>181861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6"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Giorgi Barnovi</cp:lastModifiedBy>
  <dcterms:created xsi:type="dcterms:W3CDTF">2011-11-14T12:28:14Z</dcterms:created>
  <dcterms:modified xsi:type="dcterms:W3CDTF">2023-12-27T08:21:55Z</dcterms:modified>
</cp:coreProperties>
</file>