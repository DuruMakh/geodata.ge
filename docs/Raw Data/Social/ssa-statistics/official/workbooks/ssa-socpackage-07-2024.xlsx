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სამუშო\SQL_SCRIPTS\26 - 31 (ყოველი თვის)\სოცები საიტის ცხრილები\1-2 სოც.პაკეტი\"/>
    </mc:Choice>
  </mc:AlternateContent>
  <xr:revisionPtr revIDLastSave="0" documentId="13_ncr:1_{3A6D0120-9B3F-49BB-B098-6A7F72AC938B}" xr6:coauthVersionLast="47" xr6:coauthVersionMax="47" xr10:uidLastSave="{00000000-0000-0000-0000-000000000000}"/>
  <bookViews>
    <workbookView xWindow="-120" yWindow="-120" windowWidth="24240" windowHeight="13290" firstSheet="1" activeTab="11" xr2:uid="{00000000-000D-0000-FFFF-FFFF00000000}"/>
  </bookViews>
  <sheets>
    <sheet name="January" sheetId="82" r:id="rId1"/>
    <sheet name="February" sheetId="83" r:id="rId2"/>
    <sheet name="March" sheetId="84" r:id="rId3"/>
    <sheet name="April" sheetId="85" r:id="rId4"/>
    <sheet name="May" sheetId="86" r:id="rId5"/>
    <sheet name="June" sheetId="87" r:id="rId6"/>
    <sheet name="July" sheetId="88" r:id="rId7"/>
    <sheet name="August" sheetId="89" r:id="rId8"/>
    <sheet name="September" sheetId="92" r:id="rId9"/>
    <sheet name="October" sheetId="90" r:id="rId10"/>
    <sheet name="November" sheetId="93" r:id="rId11"/>
    <sheet name="December" sheetId="94" r:id="rId12"/>
  </sheets>
  <definedNames>
    <definedName name="_xlnm.Print_Area" localSheetId="3">April!$A$1:$AB$13</definedName>
    <definedName name="_xlnm.Print_Area" localSheetId="7">August!$A$1:$AB$13</definedName>
    <definedName name="_xlnm.Print_Area" localSheetId="11">December!$A$1:$AB$13</definedName>
    <definedName name="_xlnm.Print_Area" localSheetId="1">February!$A$1:$AB$13</definedName>
    <definedName name="_xlnm.Print_Area" localSheetId="0">January!$A$1:$AB$13</definedName>
    <definedName name="_xlnm.Print_Area" localSheetId="6">July!$A$1:$AB$13</definedName>
    <definedName name="_xlnm.Print_Area" localSheetId="5">June!$A$1:$AB$13</definedName>
    <definedName name="_xlnm.Print_Area" localSheetId="2">March!$A$1:$AB$13</definedName>
    <definedName name="_xlnm.Print_Area" localSheetId="4">May!$A$1:$AB$13</definedName>
    <definedName name="_xlnm.Print_Area" localSheetId="10">November!$A$1:$AB$13</definedName>
    <definedName name="_xlnm.Print_Area" localSheetId="9">October!$A$1:$AB$13</definedName>
    <definedName name="_xlnm.Print_Area" localSheetId="8">September!$A$1:$AB$13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2" i="94" l="1"/>
  <c r="AA12" i="94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H12" i="94"/>
  <c r="G12" i="94"/>
  <c r="F12" i="94"/>
  <c r="E12" i="94"/>
  <c r="D12" i="94"/>
  <c r="C12" i="94"/>
  <c r="B12" i="94"/>
  <c r="AB12" i="93"/>
  <c r="AA12" i="93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H12" i="93"/>
  <c r="G12" i="93"/>
  <c r="F12" i="93"/>
  <c r="E12" i="93"/>
  <c r="D12" i="93"/>
  <c r="C12" i="93"/>
  <c r="B12" i="93"/>
  <c r="AB12" i="92"/>
  <c r="AA12" i="92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H12" i="92"/>
  <c r="G12" i="92"/>
  <c r="F12" i="92"/>
  <c r="E12" i="92"/>
  <c r="D12" i="92"/>
  <c r="C12" i="92"/>
  <c r="B12" i="92"/>
  <c r="AB12" i="90" l="1"/>
  <c r="AA12" i="90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H12" i="90"/>
  <c r="G12" i="90"/>
  <c r="F12" i="90"/>
  <c r="E12" i="90"/>
  <c r="D12" i="90"/>
  <c r="C12" i="90"/>
  <c r="B12" i="90"/>
  <c r="AB12" i="89"/>
  <c r="AA12" i="89"/>
  <c r="Z12" i="89"/>
  <c r="Y12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H12" i="89"/>
  <c r="G12" i="89"/>
  <c r="F12" i="89"/>
  <c r="E12" i="89"/>
  <c r="D12" i="89"/>
  <c r="C12" i="89"/>
  <c r="B12" i="89"/>
  <c r="AB12" i="88"/>
  <c r="AA12" i="88"/>
  <c r="Z12" i="88"/>
  <c r="Y12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H12" i="88"/>
  <c r="G12" i="88"/>
  <c r="F12" i="88"/>
  <c r="E12" i="88"/>
  <c r="D12" i="88"/>
  <c r="C12" i="88"/>
  <c r="B12" i="88"/>
  <c r="AB12" i="87"/>
  <c r="AA12" i="87"/>
  <c r="Z12" i="87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H12" i="87"/>
  <c r="G12" i="87"/>
  <c r="F12" i="87"/>
  <c r="E12" i="87"/>
  <c r="D12" i="87"/>
  <c r="C12" i="87"/>
  <c r="B12" i="87"/>
  <c r="AB12" i="86"/>
  <c r="AA12" i="86"/>
  <c r="Z12" i="86"/>
  <c r="Y12" i="86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H12" i="86"/>
  <c r="G12" i="86"/>
  <c r="F12" i="86"/>
  <c r="E12" i="86"/>
  <c r="D12" i="86"/>
  <c r="C12" i="86"/>
  <c r="B12" i="86"/>
  <c r="AB12" i="85" l="1"/>
  <c r="AA12" i="85"/>
  <c r="Z12" i="85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E12" i="85"/>
  <c r="D12" i="85"/>
  <c r="C12" i="85"/>
  <c r="B12" i="85"/>
  <c r="AB12" i="84" l="1"/>
  <c r="AA12" i="84"/>
  <c r="Z12" i="84"/>
  <c r="Y12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H12" i="84"/>
  <c r="G12" i="84"/>
  <c r="F12" i="84"/>
  <c r="E12" i="84"/>
  <c r="D12" i="84"/>
  <c r="C12" i="84"/>
  <c r="B12" i="84"/>
  <c r="AB12" i="83" l="1"/>
  <c r="AA12" i="83"/>
  <c r="Z12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H12" i="83"/>
  <c r="G12" i="83"/>
  <c r="F12" i="83"/>
  <c r="E12" i="83"/>
  <c r="D12" i="83"/>
  <c r="C12" i="83"/>
  <c r="B12" i="83"/>
  <c r="AB12" i="82" l="1"/>
  <c r="AA12" i="82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H12" i="82"/>
  <c r="G12" i="82"/>
  <c r="F12" i="82"/>
  <c r="E12" i="82"/>
  <c r="D12" i="82"/>
  <c r="C12" i="82"/>
  <c r="B12" i="82"/>
</calcChain>
</file>

<file path=xl/sharedStrings.xml><?xml version="1.0" encoding="utf-8"?>
<sst xmlns="http://schemas.openxmlformats.org/spreadsheetml/2006/main" count="180" uniqueCount="13">
  <si>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</si>
  <si>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</si>
  <si>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</si>
  <si>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სხვა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</si>
  <si>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</si>
  <si>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>სახელმწიფო კომპესაციის მიმღებები</t>
  </si>
  <si>
    <t xml:space="preserve">პოლიტ. რეპრესირებულები 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</si>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</sst>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5" fillId="3" borderId="0" xfId="2" applyNumberFormat="1" applyFont="1" applyFill="1" applyBorder="1" applyAlignment="1"/>
    <xf numFmtId="41" fontId="5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7" fillId="4" borderId="1" xfId="0" applyNumberFormat="1" applyFont="1" applyFill="1" applyBorder="1" applyAlignment="1">
      <alignment horizontal="centerContinuous" vertical="center" wrapText="1"/>
    </xf>
    <xf numFmtId="41" fontId="7" fillId="4" borderId="0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7" fillId="4" borderId="0" xfId="0" applyNumberFormat="1" applyFont="1" applyFill="1" applyAlignment="1">
      <alignment horizontal="centerContinuous" vertical="center" wrapText="1"/>
    </xf>
    <xf numFmtId="41" fontId="5" fillId="3" borderId="0" xfId="2" applyNumberFormat="1" applyFont="1" applyFill="1"/>
    <xf numFmtId="41" fontId="5" fillId="3" borderId="0" xfId="2" applyNumberFormat="1" applyFont="1" applyFill="1" applyAlignment="1">
      <alignment horizontal="right"/>
    </xf>
    <xf numFmtId="41" fontId="4" fillId="3" borderId="0" xfId="2" applyNumberFormat="1" applyFont="1" applyFill="1" applyAlignment="1">
      <alignment horizontal="right"/>
    </xf>
    <xf numFmtId="41" fontId="4" fillId="3" borderId="2" xfId="2" applyNumberFormat="1" applyFont="1" applyFill="1" applyBorder="1"/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_01_IANVARI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2DFDE-2D86-4FA2-B11E-A03387456D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FF848-E49D-4CF2-9092-0C67DAF052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A227E4-F4D9-406D-82D8-CA50E9C3E8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EBBCA-550E-41DE-9A78-EB43D16185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E3F0B-F281-4898-9A79-AE51E21931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6AE86-EA17-492C-A03A-A40D87B46D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40EFC-7466-40AE-BBE2-83958C2869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view="pageBreakPreview" topLeftCell="C1" zoomScale="70" zoomScaleSheetLayoutView="70" workbookViewId="0">
      <selection activeCell="AB3" sqref="AB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15550</v>
      </c>
      <c r="W4" s="6">
        <v>0</v>
      </c>
      <c r="X4" s="6">
        <v>8</v>
      </c>
      <c r="Y4" s="6">
        <v>0</v>
      </c>
      <c r="Z4" s="6">
        <v>0</v>
      </c>
      <c r="AA4" s="6">
        <v>1</v>
      </c>
      <c r="AB4" s="7">
        <v>15559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178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29446</v>
      </c>
      <c r="W5" s="6">
        <v>84</v>
      </c>
      <c r="X5" s="6">
        <v>453</v>
      </c>
      <c r="Y5" s="6">
        <v>10</v>
      </c>
      <c r="Z5" s="6">
        <v>43</v>
      </c>
      <c r="AA5" s="6">
        <v>0</v>
      </c>
      <c r="AB5" s="7">
        <v>30215</v>
      </c>
    </row>
    <row r="6" spans="1:28">
      <c r="A6" s="5" t="s">
        <v>9</v>
      </c>
      <c r="B6" s="6">
        <v>3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1826</v>
      </c>
      <c r="K6" s="6">
        <v>0</v>
      </c>
      <c r="L6" s="6">
        <v>0</v>
      </c>
      <c r="M6" s="6">
        <v>0</v>
      </c>
      <c r="N6" s="6">
        <v>69204</v>
      </c>
      <c r="O6" s="6">
        <v>0</v>
      </c>
      <c r="P6" s="6">
        <v>213</v>
      </c>
      <c r="Q6" s="6">
        <v>1621</v>
      </c>
      <c r="R6" s="6">
        <v>5</v>
      </c>
      <c r="S6" s="6">
        <v>36</v>
      </c>
      <c r="T6" s="6">
        <v>314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73227</v>
      </c>
    </row>
    <row r="7" spans="1:28">
      <c r="A7" s="5" t="s">
        <v>10</v>
      </c>
      <c r="B7" s="6">
        <v>1</v>
      </c>
      <c r="C7" s="6">
        <v>1</v>
      </c>
      <c r="D7" s="6">
        <v>13</v>
      </c>
      <c r="E7" s="6">
        <v>9</v>
      </c>
      <c r="F7" s="6">
        <v>0</v>
      </c>
      <c r="G7" s="6">
        <v>3305</v>
      </c>
      <c r="H7" s="6">
        <v>64</v>
      </c>
      <c r="I7" s="6">
        <v>702</v>
      </c>
      <c r="J7" s="6">
        <v>5611</v>
      </c>
      <c r="K7" s="6">
        <v>0</v>
      </c>
      <c r="L7" s="6">
        <v>0</v>
      </c>
      <c r="M7" s="6">
        <v>24</v>
      </c>
      <c r="N7" s="6">
        <v>0</v>
      </c>
      <c r="O7" s="6">
        <v>353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20</v>
      </c>
      <c r="AB7" s="7">
        <v>10103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20711</v>
      </c>
      <c r="K8" s="6">
        <v>0</v>
      </c>
      <c r="L8" s="6">
        <v>382</v>
      </c>
      <c r="M8" s="6">
        <v>0</v>
      </c>
      <c r="N8" s="6">
        <v>0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21096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38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39</v>
      </c>
    </row>
    <row r="10" spans="1:28">
      <c r="A10" s="5" t="s">
        <v>5</v>
      </c>
      <c r="B10" s="6">
        <v>13</v>
      </c>
      <c r="C10" s="6">
        <v>2</v>
      </c>
      <c r="D10" s="6">
        <v>3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7953</v>
      </c>
      <c r="K10" s="6">
        <v>0</v>
      </c>
      <c r="L10" s="6">
        <v>0</v>
      </c>
      <c r="M10" s="6">
        <v>0</v>
      </c>
      <c r="N10" s="6">
        <v>0</v>
      </c>
      <c r="O10" s="6">
        <v>4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7977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24024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24024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249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2</v>
      </c>
      <c r="H12" s="6">
        <f t="shared" si="0"/>
        <v>0</v>
      </c>
      <c r="I12" s="6">
        <f t="shared" si="0"/>
        <v>1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256</v>
      </c>
    </row>
    <row r="13" spans="1:28">
      <c r="A13" s="8" t="s">
        <v>1</v>
      </c>
      <c r="B13" s="9">
        <v>19</v>
      </c>
      <c r="C13" s="9">
        <v>254</v>
      </c>
      <c r="D13" s="9">
        <v>22</v>
      </c>
      <c r="E13" s="9">
        <v>9</v>
      </c>
      <c r="F13" s="9">
        <v>0</v>
      </c>
      <c r="G13" s="9">
        <v>3307</v>
      </c>
      <c r="H13" s="9">
        <v>64</v>
      </c>
      <c r="I13" s="9">
        <v>703</v>
      </c>
      <c r="J13" s="9">
        <v>60303</v>
      </c>
      <c r="K13" s="9">
        <v>38</v>
      </c>
      <c r="L13" s="9">
        <v>383</v>
      </c>
      <c r="M13" s="9">
        <v>24</v>
      </c>
      <c r="N13" s="9">
        <v>69204</v>
      </c>
      <c r="O13" s="9">
        <v>360</v>
      </c>
      <c r="P13" s="9">
        <v>213</v>
      </c>
      <c r="Q13" s="9">
        <v>1621</v>
      </c>
      <c r="R13" s="9">
        <v>5</v>
      </c>
      <c r="S13" s="9">
        <v>36</v>
      </c>
      <c r="T13" s="9">
        <v>314</v>
      </c>
      <c r="U13" s="9">
        <v>2</v>
      </c>
      <c r="V13" s="9">
        <v>44996</v>
      </c>
      <c r="W13" s="9">
        <v>84</v>
      </c>
      <c r="X13" s="9">
        <v>461</v>
      </c>
      <c r="Y13" s="9">
        <v>10</v>
      </c>
      <c r="Z13" s="9">
        <v>43</v>
      </c>
      <c r="AA13" s="9">
        <v>21</v>
      </c>
      <c r="AB13" s="9">
        <v>182496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view="pageBreakPreview" zoomScale="70" zoomScaleSheetLayoutView="70" workbookViewId="0">
      <selection activeCell="D8" sqref="D8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2" t="s">
        <v>2</v>
      </c>
      <c r="B3" s="12">
        <v>7</v>
      </c>
      <c r="C3" s="12">
        <v>22</v>
      </c>
      <c r="D3" s="12">
        <v>44</v>
      </c>
      <c r="E3" s="12">
        <v>55</v>
      </c>
      <c r="F3" s="12">
        <v>62</v>
      </c>
      <c r="G3" s="12">
        <v>70</v>
      </c>
      <c r="H3" s="12">
        <v>77</v>
      </c>
      <c r="I3" s="12">
        <v>92</v>
      </c>
      <c r="J3" s="12">
        <v>100</v>
      </c>
      <c r="K3" s="12">
        <v>107</v>
      </c>
      <c r="L3" s="12">
        <v>122</v>
      </c>
      <c r="M3" s="12">
        <v>189</v>
      </c>
      <c r="N3" s="12">
        <v>195</v>
      </c>
      <c r="O3" s="12">
        <v>144</v>
      </c>
      <c r="P3" s="12">
        <v>202</v>
      </c>
      <c r="Q3" s="12">
        <v>217</v>
      </c>
      <c r="R3" s="12">
        <v>239</v>
      </c>
      <c r="S3" s="12">
        <v>243</v>
      </c>
      <c r="T3" s="12">
        <v>298</v>
      </c>
      <c r="U3" s="12">
        <v>244</v>
      </c>
      <c r="V3" s="12">
        <v>390</v>
      </c>
      <c r="W3" s="12">
        <v>397</v>
      </c>
      <c r="X3" s="12">
        <v>412</v>
      </c>
      <c r="Y3" s="12">
        <v>434</v>
      </c>
      <c r="Z3" s="12">
        <v>463</v>
      </c>
      <c r="AA3" s="12" t="s">
        <v>3</v>
      </c>
      <c r="AB3" s="12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15663</v>
      </c>
      <c r="W4" s="6">
        <v>0</v>
      </c>
      <c r="X4" s="6">
        <v>8</v>
      </c>
      <c r="Y4" s="6">
        <v>0</v>
      </c>
      <c r="Z4" s="6">
        <v>0</v>
      </c>
      <c r="AA4" s="6">
        <v>0</v>
      </c>
      <c r="AB4" s="7">
        <v>15671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177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29424</v>
      </c>
      <c r="W5" s="6">
        <v>82</v>
      </c>
      <c r="X5" s="6">
        <v>442</v>
      </c>
      <c r="Y5" s="6">
        <v>11</v>
      </c>
      <c r="Z5" s="6">
        <v>43</v>
      </c>
      <c r="AA5" s="6">
        <v>0</v>
      </c>
      <c r="AB5" s="7">
        <v>30180</v>
      </c>
    </row>
    <row r="6" spans="1:28">
      <c r="A6" s="5" t="s">
        <v>9</v>
      </c>
      <c r="B6" s="6">
        <v>3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1820</v>
      </c>
      <c r="K6" s="6">
        <v>0</v>
      </c>
      <c r="L6" s="6">
        <v>0</v>
      </c>
      <c r="M6" s="6">
        <v>0</v>
      </c>
      <c r="N6" s="6">
        <v>69262</v>
      </c>
      <c r="O6" s="6">
        <v>0</v>
      </c>
      <c r="P6" s="6">
        <v>213</v>
      </c>
      <c r="Q6" s="6">
        <v>1626</v>
      </c>
      <c r="R6" s="6">
        <v>5</v>
      </c>
      <c r="S6" s="6">
        <v>36</v>
      </c>
      <c r="T6" s="6">
        <v>316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73286</v>
      </c>
    </row>
    <row r="7" spans="1:28">
      <c r="A7" s="5" t="s">
        <v>10</v>
      </c>
      <c r="B7" s="6">
        <v>1</v>
      </c>
      <c r="C7" s="6">
        <v>1</v>
      </c>
      <c r="D7" s="6">
        <v>12</v>
      </c>
      <c r="E7" s="6">
        <v>9</v>
      </c>
      <c r="F7" s="6">
        <v>0</v>
      </c>
      <c r="G7" s="6">
        <v>3278</v>
      </c>
      <c r="H7" s="6">
        <v>64</v>
      </c>
      <c r="I7" s="6">
        <v>699</v>
      </c>
      <c r="J7" s="6">
        <v>5612</v>
      </c>
      <c r="K7" s="6">
        <v>0</v>
      </c>
      <c r="L7" s="6">
        <v>0</v>
      </c>
      <c r="M7" s="6">
        <v>24</v>
      </c>
      <c r="N7" s="6">
        <v>0</v>
      </c>
      <c r="O7" s="6">
        <v>352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20</v>
      </c>
      <c r="AB7" s="7">
        <v>10072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20807</v>
      </c>
      <c r="K8" s="6">
        <v>0</v>
      </c>
      <c r="L8" s="6">
        <v>381</v>
      </c>
      <c r="M8" s="6">
        <v>0</v>
      </c>
      <c r="N8" s="6">
        <v>0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21191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37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38</v>
      </c>
    </row>
    <row r="10" spans="1:28">
      <c r="A10" s="5" t="s">
        <v>5</v>
      </c>
      <c r="B10" s="6">
        <v>13</v>
      </c>
      <c r="C10" s="6">
        <v>2</v>
      </c>
      <c r="D10" s="6">
        <v>3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7953</v>
      </c>
      <c r="K10" s="6">
        <v>0</v>
      </c>
      <c r="L10" s="6">
        <v>0</v>
      </c>
      <c r="M10" s="6">
        <v>0</v>
      </c>
      <c r="N10" s="6">
        <v>0</v>
      </c>
      <c r="O10" s="6">
        <v>4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7977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24134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24134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246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1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251</v>
      </c>
    </row>
    <row r="13" spans="1:28">
      <c r="A13" s="8" t="s">
        <v>1</v>
      </c>
      <c r="B13" s="9">
        <v>19</v>
      </c>
      <c r="C13" s="9">
        <v>251</v>
      </c>
      <c r="D13" s="9">
        <v>21</v>
      </c>
      <c r="E13" s="9">
        <v>9</v>
      </c>
      <c r="F13" s="9">
        <v>0</v>
      </c>
      <c r="G13" s="9">
        <v>3278</v>
      </c>
      <c r="H13" s="9">
        <v>64</v>
      </c>
      <c r="I13" s="9">
        <v>700</v>
      </c>
      <c r="J13" s="9">
        <v>60503</v>
      </c>
      <c r="K13" s="9">
        <v>37</v>
      </c>
      <c r="L13" s="9">
        <v>382</v>
      </c>
      <c r="M13" s="9">
        <v>24</v>
      </c>
      <c r="N13" s="9">
        <v>69262</v>
      </c>
      <c r="O13" s="9">
        <v>359</v>
      </c>
      <c r="P13" s="9">
        <v>213</v>
      </c>
      <c r="Q13" s="9">
        <v>1626</v>
      </c>
      <c r="R13" s="9">
        <v>5</v>
      </c>
      <c r="S13" s="9">
        <v>36</v>
      </c>
      <c r="T13" s="9">
        <v>316</v>
      </c>
      <c r="U13" s="9">
        <v>2</v>
      </c>
      <c r="V13" s="9">
        <v>45087</v>
      </c>
      <c r="W13" s="9">
        <v>82</v>
      </c>
      <c r="X13" s="9">
        <v>450</v>
      </c>
      <c r="Y13" s="9">
        <v>11</v>
      </c>
      <c r="Z13" s="9">
        <v>43</v>
      </c>
      <c r="AA13" s="9">
        <v>20</v>
      </c>
      <c r="AB13" s="9">
        <v>182800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7"/>
  <sheetViews>
    <sheetView view="pageBreakPreview" topLeftCell="D1" zoomScale="70" zoomScaleSheetLayoutView="70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15803</v>
      </c>
      <c r="W4" s="6">
        <v>0</v>
      </c>
      <c r="X4" s="6">
        <v>8</v>
      </c>
      <c r="Y4" s="6">
        <v>0</v>
      </c>
      <c r="Z4" s="6">
        <v>0</v>
      </c>
      <c r="AA4" s="6">
        <v>0</v>
      </c>
      <c r="AB4" s="7">
        <v>15811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180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29534</v>
      </c>
      <c r="W5" s="6">
        <v>84</v>
      </c>
      <c r="X5" s="6">
        <v>444</v>
      </c>
      <c r="Y5" s="6">
        <v>10</v>
      </c>
      <c r="Z5" s="6">
        <v>44</v>
      </c>
      <c r="AA5" s="6">
        <v>0</v>
      </c>
      <c r="AB5" s="7">
        <v>30297</v>
      </c>
    </row>
    <row r="6" spans="1:28">
      <c r="A6" s="5" t="s">
        <v>9</v>
      </c>
      <c r="B6" s="6">
        <v>3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1814</v>
      </c>
      <c r="K6" s="6">
        <v>0</v>
      </c>
      <c r="L6" s="6">
        <v>0</v>
      </c>
      <c r="M6" s="6">
        <v>0</v>
      </c>
      <c r="N6" s="6">
        <v>69286</v>
      </c>
      <c r="O6" s="6">
        <v>0</v>
      </c>
      <c r="P6" s="6">
        <v>215</v>
      </c>
      <c r="Q6" s="6">
        <v>1624</v>
      </c>
      <c r="R6" s="6">
        <v>5</v>
      </c>
      <c r="S6" s="6">
        <v>36</v>
      </c>
      <c r="T6" s="6">
        <v>317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73305</v>
      </c>
    </row>
    <row r="7" spans="1:28">
      <c r="A7" s="5" t="s">
        <v>10</v>
      </c>
      <c r="B7" s="6">
        <v>1</v>
      </c>
      <c r="C7" s="6">
        <v>1</v>
      </c>
      <c r="D7" s="6">
        <v>12</v>
      </c>
      <c r="E7" s="6">
        <v>9</v>
      </c>
      <c r="F7" s="6">
        <v>0</v>
      </c>
      <c r="G7" s="6">
        <v>3256</v>
      </c>
      <c r="H7" s="6">
        <v>63</v>
      </c>
      <c r="I7" s="6">
        <v>690</v>
      </c>
      <c r="J7" s="6">
        <v>5611</v>
      </c>
      <c r="K7" s="6">
        <v>0</v>
      </c>
      <c r="L7" s="6">
        <v>0</v>
      </c>
      <c r="M7" s="6">
        <v>24</v>
      </c>
      <c r="N7" s="6">
        <v>0</v>
      </c>
      <c r="O7" s="6">
        <v>349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20</v>
      </c>
      <c r="AB7" s="7">
        <v>10036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20805</v>
      </c>
      <c r="K8" s="6">
        <v>0</v>
      </c>
      <c r="L8" s="6">
        <v>387</v>
      </c>
      <c r="M8" s="6">
        <v>0</v>
      </c>
      <c r="N8" s="6">
        <v>0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21195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35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36</v>
      </c>
    </row>
    <row r="10" spans="1:28">
      <c r="A10" s="5" t="s">
        <v>5</v>
      </c>
      <c r="B10" s="6">
        <v>14</v>
      </c>
      <c r="C10" s="6">
        <v>2</v>
      </c>
      <c r="D10" s="6">
        <v>3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7947</v>
      </c>
      <c r="K10" s="6">
        <v>0</v>
      </c>
      <c r="L10" s="6">
        <v>0</v>
      </c>
      <c r="M10" s="6">
        <v>0</v>
      </c>
      <c r="N10" s="6">
        <v>0</v>
      </c>
      <c r="O10" s="6">
        <v>4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7972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24131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24131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245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1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250</v>
      </c>
    </row>
    <row r="13" spans="1:28">
      <c r="A13" s="8" t="s">
        <v>1</v>
      </c>
      <c r="B13" s="9">
        <v>20</v>
      </c>
      <c r="C13" s="9">
        <v>250</v>
      </c>
      <c r="D13" s="9">
        <v>21</v>
      </c>
      <c r="E13" s="9">
        <v>9</v>
      </c>
      <c r="F13" s="9">
        <v>0</v>
      </c>
      <c r="G13" s="9">
        <v>3256</v>
      </c>
      <c r="H13" s="9">
        <v>63</v>
      </c>
      <c r="I13" s="9">
        <v>691</v>
      </c>
      <c r="J13" s="9">
        <v>60488</v>
      </c>
      <c r="K13" s="9">
        <v>35</v>
      </c>
      <c r="L13" s="9">
        <v>388</v>
      </c>
      <c r="M13" s="9">
        <v>24</v>
      </c>
      <c r="N13" s="9">
        <v>69286</v>
      </c>
      <c r="O13" s="9">
        <v>356</v>
      </c>
      <c r="P13" s="9">
        <v>215</v>
      </c>
      <c r="Q13" s="9">
        <v>1624</v>
      </c>
      <c r="R13" s="9">
        <v>5</v>
      </c>
      <c r="S13" s="9">
        <v>36</v>
      </c>
      <c r="T13" s="9">
        <v>317</v>
      </c>
      <c r="U13" s="9">
        <v>2</v>
      </c>
      <c r="V13" s="9">
        <v>45337</v>
      </c>
      <c r="W13" s="9">
        <v>84</v>
      </c>
      <c r="X13" s="9">
        <v>452</v>
      </c>
      <c r="Y13" s="9">
        <v>10</v>
      </c>
      <c r="Z13" s="9">
        <v>44</v>
      </c>
      <c r="AA13" s="9">
        <v>20</v>
      </c>
      <c r="AB13" s="9">
        <v>183033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7"/>
  <sheetViews>
    <sheetView view="pageBreakPreview" zoomScale="70" zoomScaleSheetLayoutView="70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15983</v>
      </c>
      <c r="W4" s="6">
        <v>0</v>
      </c>
      <c r="X4" s="6">
        <v>9</v>
      </c>
      <c r="Y4" s="6">
        <v>0</v>
      </c>
      <c r="Z4" s="6">
        <v>0</v>
      </c>
      <c r="AA4" s="6">
        <v>0</v>
      </c>
      <c r="AB4" s="7">
        <v>15992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177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29648</v>
      </c>
      <c r="W5" s="6">
        <v>85</v>
      </c>
      <c r="X5" s="6">
        <v>450</v>
      </c>
      <c r="Y5" s="6">
        <v>11</v>
      </c>
      <c r="Z5" s="6">
        <v>44</v>
      </c>
      <c r="AA5" s="6">
        <v>0</v>
      </c>
      <c r="AB5" s="7">
        <v>30416</v>
      </c>
    </row>
    <row r="6" spans="1:28">
      <c r="A6" s="5" t="s">
        <v>9</v>
      </c>
      <c r="B6" s="6">
        <v>3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1806</v>
      </c>
      <c r="K6" s="6">
        <v>0</v>
      </c>
      <c r="L6" s="6">
        <v>0</v>
      </c>
      <c r="M6" s="6">
        <v>0</v>
      </c>
      <c r="N6" s="6">
        <v>69466</v>
      </c>
      <c r="O6" s="6">
        <v>0</v>
      </c>
      <c r="P6" s="6">
        <v>216</v>
      </c>
      <c r="Q6" s="6">
        <v>1612</v>
      </c>
      <c r="R6" s="6">
        <v>5</v>
      </c>
      <c r="S6" s="6">
        <v>36</v>
      </c>
      <c r="T6" s="6">
        <v>312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73461</v>
      </c>
    </row>
    <row r="7" spans="1:28">
      <c r="A7" s="5" t="s">
        <v>10</v>
      </c>
      <c r="B7" s="6">
        <v>1</v>
      </c>
      <c r="C7" s="6">
        <v>1</v>
      </c>
      <c r="D7" s="6">
        <v>12</v>
      </c>
      <c r="E7" s="6">
        <v>8</v>
      </c>
      <c r="F7" s="6">
        <v>0</v>
      </c>
      <c r="G7" s="6">
        <v>3247</v>
      </c>
      <c r="H7" s="6">
        <v>63</v>
      </c>
      <c r="I7" s="6">
        <v>683</v>
      </c>
      <c r="J7" s="6">
        <v>5629</v>
      </c>
      <c r="K7" s="6">
        <v>0</v>
      </c>
      <c r="L7" s="6">
        <v>0</v>
      </c>
      <c r="M7" s="6">
        <v>24</v>
      </c>
      <c r="N7" s="6">
        <v>0</v>
      </c>
      <c r="O7" s="6">
        <v>346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20</v>
      </c>
      <c r="AB7" s="7">
        <v>10034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20781</v>
      </c>
      <c r="K8" s="6">
        <v>0</v>
      </c>
      <c r="L8" s="6">
        <v>384</v>
      </c>
      <c r="M8" s="6">
        <v>0</v>
      </c>
      <c r="N8" s="6">
        <v>0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21168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35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36</v>
      </c>
    </row>
    <row r="10" spans="1:28">
      <c r="A10" s="5" t="s">
        <v>5</v>
      </c>
      <c r="B10" s="6">
        <v>15</v>
      </c>
      <c r="C10" s="6">
        <v>2</v>
      </c>
      <c r="D10" s="6">
        <v>3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7960</v>
      </c>
      <c r="K10" s="6">
        <v>0</v>
      </c>
      <c r="L10" s="6">
        <v>0</v>
      </c>
      <c r="M10" s="6">
        <v>0</v>
      </c>
      <c r="N10" s="6">
        <v>0</v>
      </c>
      <c r="O10" s="6">
        <v>4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7986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24137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24137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249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1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254</v>
      </c>
    </row>
    <row r="13" spans="1:28">
      <c r="A13" s="8" t="s">
        <v>1</v>
      </c>
      <c r="B13" s="9">
        <v>21</v>
      </c>
      <c r="C13" s="9">
        <v>254</v>
      </c>
      <c r="D13" s="9">
        <v>21</v>
      </c>
      <c r="E13" s="9">
        <v>8</v>
      </c>
      <c r="F13" s="9">
        <v>0</v>
      </c>
      <c r="G13" s="9">
        <v>3247</v>
      </c>
      <c r="H13" s="9">
        <v>63</v>
      </c>
      <c r="I13" s="9">
        <v>684</v>
      </c>
      <c r="J13" s="9">
        <v>60490</v>
      </c>
      <c r="K13" s="9">
        <v>35</v>
      </c>
      <c r="L13" s="9">
        <v>385</v>
      </c>
      <c r="M13" s="9">
        <v>24</v>
      </c>
      <c r="N13" s="9">
        <v>69466</v>
      </c>
      <c r="O13" s="9">
        <v>353</v>
      </c>
      <c r="P13" s="9">
        <v>216</v>
      </c>
      <c r="Q13" s="9">
        <v>1612</v>
      </c>
      <c r="R13" s="9">
        <v>5</v>
      </c>
      <c r="S13" s="9">
        <v>36</v>
      </c>
      <c r="T13" s="9">
        <v>312</v>
      </c>
      <c r="U13" s="9">
        <v>2</v>
      </c>
      <c r="V13" s="9">
        <v>45631</v>
      </c>
      <c r="W13" s="9">
        <v>85</v>
      </c>
      <c r="X13" s="9">
        <v>459</v>
      </c>
      <c r="Y13" s="9">
        <v>11</v>
      </c>
      <c r="Z13" s="9">
        <v>44</v>
      </c>
      <c r="AA13" s="9">
        <v>20</v>
      </c>
      <c r="AB13" s="9">
        <v>183484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7"/>
  <sheetViews>
    <sheetView view="pageBreakPreview" zoomScale="70" zoomScaleSheetLayoutView="70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16208</v>
      </c>
      <c r="W4" s="6">
        <v>0</v>
      </c>
      <c r="X4" s="6">
        <v>9</v>
      </c>
      <c r="Y4" s="6">
        <v>0</v>
      </c>
      <c r="Z4" s="6">
        <v>0</v>
      </c>
      <c r="AA4" s="6">
        <v>0</v>
      </c>
      <c r="AB4" s="7">
        <v>16217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181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29709</v>
      </c>
      <c r="W5" s="6">
        <v>86</v>
      </c>
      <c r="X5" s="6">
        <v>453</v>
      </c>
      <c r="Y5" s="6">
        <v>10</v>
      </c>
      <c r="Z5" s="6">
        <v>44</v>
      </c>
      <c r="AA5" s="6">
        <v>0</v>
      </c>
      <c r="AB5" s="7">
        <v>30484</v>
      </c>
    </row>
    <row r="6" spans="1:28">
      <c r="A6" s="5" t="s">
        <v>9</v>
      </c>
      <c r="B6" s="6">
        <v>4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1798</v>
      </c>
      <c r="K6" s="6">
        <v>0</v>
      </c>
      <c r="L6" s="6">
        <v>0</v>
      </c>
      <c r="M6" s="6">
        <v>0</v>
      </c>
      <c r="N6" s="6">
        <v>69670</v>
      </c>
      <c r="O6" s="6">
        <v>0</v>
      </c>
      <c r="P6" s="6">
        <v>216</v>
      </c>
      <c r="Q6" s="6">
        <v>1614</v>
      </c>
      <c r="R6" s="6">
        <v>5</v>
      </c>
      <c r="S6" s="6">
        <v>37</v>
      </c>
      <c r="T6" s="6">
        <v>314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73663</v>
      </c>
    </row>
    <row r="7" spans="1:28">
      <c r="A7" s="5" t="s">
        <v>10</v>
      </c>
      <c r="B7" s="6">
        <v>1</v>
      </c>
      <c r="C7" s="6">
        <v>1</v>
      </c>
      <c r="D7" s="6">
        <v>12</v>
      </c>
      <c r="E7" s="6">
        <v>8</v>
      </c>
      <c r="F7" s="6">
        <v>0</v>
      </c>
      <c r="G7" s="6">
        <v>3205</v>
      </c>
      <c r="H7" s="6">
        <v>61</v>
      </c>
      <c r="I7" s="6">
        <v>680</v>
      </c>
      <c r="J7" s="6">
        <v>5633</v>
      </c>
      <c r="K7" s="6">
        <v>0</v>
      </c>
      <c r="L7" s="6">
        <v>0</v>
      </c>
      <c r="M7" s="6">
        <v>23</v>
      </c>
      <c r="N7" s="6">
        <v>0</v>
      </c>
      <c r="O7" s="6">
        <v>345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21</v>
      </c>
      <c r="AB7" s="7">
        <v>9990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20760</v>
      </c>
      <c r="K8" s="6">
        <v>0</v>
      </c>
      <c r="L8" s="6">
        <v>380</v>
      </c>
      <c r="M8" s="6">
        <v>0</v>
      </c>
      <c r="N8" s="6">
        <v>0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21143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34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35</v>
      </c>
    </row>
    <row r="10" spans="1:28">
      <c r="A10" s="5" t="s">
        <v>5</v>
      </c>
      <c r="B10" s="6">
        <v>15</v>
      </c>
      <c r="C10" s="6">
        <v>2</v>
      </c>
      <c r="D10" s="6">
        <v>3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7959</v>
      </c>
      <c r="K10" s="6">
        <v>0</v>
      </c>
      <c r="L10" s="6">
        <v>0</v>
      </c>
      <c r="M10" s="6">
        <v>0</v>
      </c>
      <c r="N10" s="6">
        <v>0</v>
      </c>
      <c r="O10" s="6">
        <v>4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7985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24091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24091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251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255</v>
      </c>
    </row>
    <row r="13" spans="1:28">
      <c r="A13" s="8" t="s">
        <v>1</v>
      </c>
      <c r="B13" s="9">
        <v>22</v>
      </c>
      <c r="C13" s="9">
        <v>256</v>
      </c>
      <c r="D13" s="9">
        <v>21</v>
      </c>
      <c r="E13" s="9">
        <v>8</v>
      </c>
      <c r="F13" s="9">
        <v>0</v>
      </c>
      <c r="G13" s="9">
        <v>3205</v>
      </c>
      <c r="H13" s="9">
        <v>61</v>
      </c>
      <c r="I13" s="9">
        <v>680</v>
      </c>
      <c r="J13" s="9">
        <v>60422</v>
      </c>
      <c r="K13" s="9">
        <v>34</v>
      </c>
      <c r="L13" s="9">
        <v>381</v>
      </c>
      <c r="M13" s="9">
        <v>23</v>
      </c>
      <c r="N13" s="9">
        <v>69670</v>
      </c>
      <c r="O13" s="9">
        <v>352</v>
      </c>
      <c r="P13" s="9">
        <v>216</v>
      </c>
      <c r="Q13" s="9">
        <v>1614</v>
      </c>
      <c r="R13" s="9">
        <v>5</v>
      </c>
      <c r="S13" s="9">
        <v>37</v>
      </c>
      <c r="T13" s="9">
        <v>314</v>
      </c>
      <c r="U13" s="9">
        <v>2</v>
      </c>
      <c r="V13" s="9">
        <v>45917</v>
      </c>
      <c r="W13" s="9">
        <v>86</v>
      </c>
      <c r="X13" s="9">
        <v>462</v>
      </c>
      <c r="Y13" s="9">
        <v>10</v>
      </c>
      <c r="Z13" s="9">
        <v>44</v>
      </c>
      <c r="AA13" s="9">
        <v>21</v>
      </c>
      <c r="AB13" s="9">
        <v>183863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D04B-E15C-4EAD-A454-A065BEE27759}">
  <dimension ref="A1:AB27"/>
  <sheetViews>
    <sheetView view="pageBreakPreview" zoomScale="70" zoomScaleSheetLayoutView="70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16332</v>
      </c>
      <c r="W4" s="6">
        <v>0</v>
      </c>
      <c r="X4" s="6">
        <v>8</v>
      </c>
      <c r="Y4" s="6">
        <v>0</v>
      </c>
      <c r="Z4" s="6">
        <v>0</v>
      </c>
      <c r="AA4" s="6">
        <v>0</v>
      </c>
      <c r="AB4" s="7">
        <v>16340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179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29693</v>
      </c>
      <c r="W5" s="6">
        <v>88</v>
      </c>
      <c r="X5" s="6">
        <v>460</v>
      </c>
      <c r="Y5" s="6">
        <v>10</v>
      </c>
      <c r="Z5" s="6">
        <v>44</v>
      </c>
      <c r="AA5" s="6">
        <v>0</v>
      </c>
      <c r="AB5" s="7">
        <v>30475</v>
      </c>
    </row>
    <row r="6" spans="1:28">
      <c r="A6" s="5" t="s">
        <v>9</v>
      </c>
      <c r="B6" s="6">
        <v>4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1799</v>
      </c>
      <c r="K6" s="6">
        <v>0</v>
      </c>
      <c r="L6" s="6">
        <v>0</v>
      </c>
      <c r="M6" s="6">
        <v>0</v>
      </c>
      <c r="N6" s="6">
        <v>69686</v>
      </c>
      <c r="O6" s="6">
        <v>0</v>
      </c>
      <c r="P6" s="6">
        <v>213</v>
      </c>
      <c r="Q6" s="6">
        <v>1616</v>
      </c>
      <c r="R6" s="6">
        <v>5</v>
      </c>
      <c r="S6" s="6">
        <v>37</v>
      </c>
      <c r="T6" s="6">
        <v>313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73678</v>
      </c>
    </row>
    <row r="7" spans="1:28">
      <c r="A7" s="5" t="s">
        <v>10</v>
      </c>
      <c r="B7" s="6">
        <v>1</v>
      </c>
      <c r="C7" s="6">
        <v>1</v>
      </c>
      <c r="D7" s="6">
        <v>12</v>
      </c>
      <c r="E7" s="6">
        <v>7</v>
      </c>
      <c r="F7" s="6">
        <v>0</v>
      </c>
      <c r="G7" s="6">
        <v>3184</v>
      </c>
      <c r="H7" s="6">
        <v>60</v>
      </c>
      <c r="I7" s="6">
        <v>675</v>
      </c>
      <c r="J7" s="6">
        <v>5629</v>
      </c>
      <c r="K7" s="6">
        <v>0</v>
      </c>
      <c r="L7" s="6">
        <v>0</v>
      </c>
      <c r="M7" s="6">
        <v>23</v>
      </c>
      <c r="N7" s="6">
        <v>0</v>
      </c>
      <c r="O7" s="6">
        <v>344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20</v>
      </c>
      <c r="AB7" s="7">
        <v>9956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20707</v>
      </c>
      <c r="K8" s="6">
        <v>0</v>
      </c>
      <c r="L8" s="6">
        <v>375</v>
      </c>
      <c r="M8" s="6">
        <v>0</v>
      </c>
      <c r="N8" s="6">
        <v>0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21085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34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35</v>
      </c>
    </row>
    <row r="10" spans="1:28">
      <c r="A10" s="5" t="s">
        <v>5</v>
      </c>
      <c r="B10" s="6">
        <v>15</v>
      </c>
      <c r="C10" s="6">
        <v>2</v>
      </c>
      <c r="D10" s="6">
        <v>3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7969</v>
      </c>
      <c r="K10" s="6">
        <v>0</v>
      </c>
      <c r="L10" s="6">
        <v>0</v>
      </c>
      <c r="M10" s="6">
        <v>0</v>
      </c>
      <c r="N10" s="6">
        <v>0</v>
      </c>
      <c r="O10" s="6">
        <v>3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7994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24134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24134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249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253</v>
      </c>
    </row>
    <row r="13" spans="1:28">
      <c r="A13" s="8" t="s">
        <v>1</v>
      </c>
      <c r="B13" s="9">
        <v>22</v>
      </c>
      <c r="C13" s="9">
        <v>254</v>
      </c>
      <c r="D13" s="9">
        <v>21</v>
      </c>
      <c r="E13" s="9">
        <v>7</v>
      </c>
      <c r="F13" s="9">
        <v>0</v>
      </c>
      <c r="G13" s="9">
        <v>3184</v>
      </c>
      <c r="H13" s="9">
        <v>60</v>
      </c>
      <c r="I13" s="9">
        <v>675</v>
      </c>
      <c r="J13" s="9">
        <v>60417</v>
      </c>
      <c r="K13" s="9">
        <v>34</v>
      </c>
      <c r="L13" s="9">
        <v>376</v>
      </c>
      <c r="M13" s="9">
        <v>23</v>
      </c>
      <c r="N13" s="9">
        <v>69686</v>
      </c>
      <c r="O13" s="9">
        <v>350</v>
      </c>
      <c r="P13" s="9">
        <v>213</v>
      </c>
      <c r="Q13" s="9">
        <v>1616</v>
      </c>
      <c r="R13" s="9">
        <v>5</v>
      </c>
      <c r="S13" s="9">
        <v>37</v>
      </c>
      <c r="T13" s="9">
        <v>313</v>
      </c>
      <c r="U13" s="9">
        <v>2</v>
      </c>
      <c r="V13" s="9">
        <v>46025</v>
      </c>
      <c r="W13" s="9">
        <v>88</v>
      </c>
      <c r="X13" s="9">
        <v>468</v>
      </c>
      <c r="Y13" s="9">
        <v>10</v>
      </c>
      <c r="Z13" s="9">
        <v>44</v>
      </c>
      <c r="AA13" s="9">
        <v>20</v>
      </c>
      <c r="AB13" s="9">
        <v>183950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BF98-17B9-49C4-905A-F0ACF29B2078}">
  <dimension ref="A1:AB27"/>
  <sheetViews>
    <sheetView view="pageBreakPreview" topLeftCell="E1" zoomScale="70" zoomScaleNormal="100" zoomScaleSheetLayoutView="70" workbookViewId="0">
      <selection activeCell="X15" sqref="X15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16448</v>
      </c>
      <c r="W4" s="6">
        <v>0</v>
      </c>
      <c r="X4" s="6">
        <v>8</v>
      </c>
      <c r="Y4" s="6">
        <v>0</v>
      </c>
      <c r="Z4" s="6">
        <v>0</v>
      </c>
      <c r="AA4" s="6">
        <v>0</v>
      </c>
      <c r="AB4" s="7">
        <v>16456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176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29766</v>
      </c>
      <c r="W5" s="6">
        <v>88</v>
      </c>
      <c r="X5" s="6">
        <v>462</v>
      </c>
      <c r="Y5" s="6">
        <v>10</v>
      </c>
      <c r="Z5" s="6">
        <v>43</v>
      </c>
      <c r="AA5" s="6">
        <v>0</v>
      </c>
      <c r="AB5" s="7">
        <v>30546</v>
      </c>
    </row>
    <row r="6" spans="1:28">
      <c r="A6" s="5" t="s">
        <v>9</v>
      </c>
      <c r="B6" s="6">
        <v>4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1786</v>
      </c>
      <c r="K6" s="6">
        <v>0</v>
      </c>
      <c r="L6" s="6">
        <v>0</v>
      </c>
      <c r="M6" s="6">
        <v>0</v>
      </c>
      <c r="N6" s="6">
        <v>69561</v>
      </c>
      <c r="O6" s="6">
        <v>0</v>
      </c>
      <c r="P6" s="6">
        <v>214</v>
      </c>
      <c r="Q6" s="6">
        <v>1618</v>
      </c>
      <c r="R6" s="6">
        <v>5</v>
      </c>
      <c r="S6" s="6">
        <v>37</v>
      </c>
      <c r="T6" s="6">
        <v>314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73544</v>
      </c>
    </row>
    <row r="7" spans="1:28">
      <c r="A7" s="5" t="s">
        <v>10</v>
      </c>
      <c r="B7" s="6">
        <v>1</v>
      </c>
      <c r="C7" s="6">
        <v>1</v>
      </c>
      <c r="D7" s="6">
        <v>12</v>
      </c>
      <c r="E7" s="6">
        <v>8</v>
      </c>
      <c r="F7" s="6">
        <v>0</v>
      </c>
      <c r="G7" s="6">
        <v>3155</v>
      </c>
      <c r="H7" s="6">
        <v>58</v>
      </c>
      <c r="I7" s="6">
        <v>670</v>
      </c>
      <c r="J7" s="6">
        <v>5628</v>
      </c>
      <c r="K7" s="6">
        <v>0</v>
      </c>
      <c r="L7" s="6">
        <v>0</v>
      </c>
      <c r="M7" s="6">
        <v>23</v>
      </c>
      <c r="N7" s="6">
        <v>0</v>
      </c>
      <c r="O7" s="6">
        <v>346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21</v>
      </c>
      <c r="AB7" s="7">
        <v>9923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20646</v>
      </c>
      <c r="K8" s="6">
        <v>0</v>
      </c>
      <c r="L8" s="6">
        <v>373</v>
      </c>
      <c r="M8" s="6">
        <v>0</v>
      </c>
      <c r="N8" s="6">
        <v>0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21022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35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36</v>
      </c>
    </row>
    <row r="10" spans="1:28">
      <c r="A10" s="5" t="s">
        <v>5</v>
      </c>
      <c r="B10" s="6">
        <v>16</v>
      </c>
      <c r="C10" s="6">
        <v>2</v>
      </c>
      <c r="D10" s="6">
        <v>3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7996</v>
      </c>
      <c r="K10" s="6">
        <v>0</v>
      </c>
      <c r="L10" s="6">
        <v>0</v>
      </c>
      <c r="M10" s="6">
        <v>0</v>
      </c>
      <c r="N10" s="6">
        <v>0</v>
      </c>
      <c r="O10" s="6">
        <v>3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8022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24188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24188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248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252</v>
      </c>
    </row>
    <row r="13" spans="1:28">
      <c r="A13" s="8" t="s">
        <v>1</v>
      </c>
      <c r="B13" s="9">
        <v>23</v>
      </c>
      <c r="C13" s="9">
        <v>253</v>
      </c>
      <c r="D13" s="9">
        <v>21</v>
      </c>
      <c r="E13" s="9">
        <v>8</v>
      </c>
      <c r="F13" s="9">
        <v>0</v>
      </c>
      <c r="G13" s="9">
        <v>3155</v>
      </c>
      <c r="H13" s="9">
        <v>58</v>
      </c>
      <c r="I13" s="9">
        <v>670</v>
      </c>
      <c r="J13" s="9">
        <v>60420</v>
      </c>
      <c r="K13" s="9">
        <v>35</v>
      </c>
      <c r="L13" s="9">
        <v>374</v>
      </c>
      <c r="M13" s="9">
        <v>23</v>
      </c>
      <c r="N13" s="9">
        <v>69561</v>
      </c>
      <c r="O13" s="9">
        <v>352</v>
      </c>
      <c r="P13" s="9">
        <v>214</v>
      </c>
      <c r="Q13" s="9">
        <v>1618</v>
      </c>
      <c r="R13" s="9">
        <v>5</v>
      </c>
      <c r="S13" s="9">
        <v>37</v>
      </c>
      <c r="T13" s="9">
        <v>314</v>
      </c>
      <c r="U13" s="9">
        <v>2</v>
      </c>
      <c r="V13" s="9">
        <v>46214</v>
      </c>
      <c r="W13" s="9">
        <v>88</v>
      </c>
      <c r="X13" s="9">
        <v>470</v>
      </c>
      <c r="Y13" s="9">
        <v>10</v>
      </c>
      <c r="Z13" s="9">
        <v>43</v>
      </c>
      <c r="AA13" s="9">
        <v>21</v>
      </c>
      <c r="AB13" s="9">
        <v>183989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7061-F3EB-4F12-AB51-6B583F507B41}">
  <dimension ref="A1:AB27"/>
  <sheetViews>
    <sheetView view="pageBreakPreview" zoomScale="70" zoomScaleNormal="100" zoomScaleSheetLayoutView="70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16674</v>
      </c>
      <c r="W4" s="6">
        <v>0</v>
      </c>
      <c r="X4" s="6">
        <v>9</v>
      </c>
      <c r="Y4" s="6">
        <v>0</v>
      </c>
      <c r="Z4" s="6">
        <v>0</v>
      </c>
      <c r="AA4" s="6">
        <v>0</v>
      </c>
      <c r="AB4" s="7">
        <v>16683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175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29918</v>
      </c>
      <c r="W5" s="6">
        <v>88</v>
      </c>
      <c r="X5" s="6">
        <v>468</v>
      </c>
      <c r="Y5" s="6">
        <v>10</v>
      </c>
      <c r="Z5" s="6">
        <v>43</v>
      </c>
      <c r="AA5" s="6">
        <v>0</v>
      </c>
      <c r="AB5" s="7">
        <v>30703</v>
      </c>
    </row>
    <row r="6" spans="1:28">
      <c r="A6" s="5" t="s">
        <v>9</v>
      </c>
      <c r="B6" s="6">
        <v>4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1781</v>
      </c>
      <c r="K6" s="6">
        <v>0</v>
      </c>
      <c r="L6" s="6">
        <v>0</v>
      </c>
      <c r="M6" s="6">
        <v>0</v>
      </c>
      <c r="N6" s="6">
        <v>69747</v>
      </c>
      <c r="O6" s="6">
        <v>0</v>
      </c>
      <c r="P6" s="6">
        <v>214</v>
      </c>
      <c r="Q6" s="6">
        <v>1615</v>
      </c>
      <c r="R6" s="6">
        <v>5</v>
      </c>
      <c r="S6" s="6">
        <v>37</v>
      </c>
      <c r="T6" s="6">
        <v>312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73720</v>
      </c>
    </row>
    <row r="7" spans="1:28">
      <c r="A7" s="5" t="s">
        <v>10</v>
      </c>
      <c r="B7" s="6">
        <v>1</v>
      </c>
      <c r="C7" s="6">
        <v>1</v>
      </c>
      <c r="D7" s="6">
        <v>11</v>
      </c>
      <c r="E7" s="6">
        <v>8</v>
      </c>
      <c r="F7" s="6">
        <v>0</v>
      </c>
      <c r="G7" s="6">
        <v>3133</v>
      </c>
      <c r="H7" s="6">
        <v>58</v>
      </c>
      <c r="I7" s="6">
        <v>661</v>
      </c>
      <c r="J7" s="6">
        <v>5644</v>
      </c>
      <c r="K7" s="6">
        <v>0</v>
      </c>
      <c r="L7" s="6">
        <v>0</v>
      </c>
      <c r="M7" s="6">
        <v>22</v>
      </c>
      <c r="N7" s="6">
        <v>0</v>
      </c>
      <c r="O7" s="6">
        <v>345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20</v>
      </c>
      <c r="AB7" s="7">
        <v>9904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20652</v>
      </c>
      <c r="K8" s="6">
        <v>0</v>
      </c>
      <c r="L8" s="6">
        <v>366</v>
      </c>
      <c r="M8" s="6">
        <v>0</v>
      </c>
      <c r="N8" s="6">
        <v>0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21021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34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35</v>
      </c>
    </row>
    <row r="10" spans="1:28">
      <c r="A10" s="5" t="s">
        <v>5</v>
      </c>
      <c r="B10" s="6">
        <v>16</v>
      </c>
      <c r="C10" s="6">
        <v>2</v>
      </c>
      <c r="D10" s="6">
        <v>3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8029</v>
      </c>
      <c r="K10" s="6">
        <v>0</v>
      </c>
      <c r="L10" s="6">
        <v>0</v>
      </c>
      <c r="M10" s="6">
        <v>0</v>
      </c>
      <c r="N10" s="6">
        <v>0</v>
      </c>
      <c r="O10" s="6">
        <v>3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8055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24222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24222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247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251</v>
      </c>
    </row>
    <row r="13" spans="1:28">
      <c r="A13" s="8" t="s">
        <v>1</v>
      </c>
      <c r="B13" s="9">
        <v>23</v>
      </c>
      <c r="C13" s="9">
        <v>252</v>
      </c>
      <c r="D13" s="9">
        <v>20</v>
      </c>
      <c r="E13" s="9">
        <v>8</v>
      </c>
      <c r="F13" s="9">
        <v>0</v>
      </c>
      <c r="G13" s="9">
        <v>3133</v>
      </c>
      <c r="H13" s="9">
        <v>58</v>
      </c>
      <c r="I13" s="9">
        <v>661</v>
      </c>
      <c r="J13" s="9">
        <v>60503</v>
      </c>
      <c r="K13" s="9">
        <v>34</v>
      </c>
      <c r="L13" s="9">
        <v>367</v>
      </c>
      <c r="M13" s="9">
        <v>22</v>
      </c>
      <c r="N13" s="9">
        <v>69747</v>
      </c>
      <c r="O13" s="9">
        <v>351</v>
      </c>
      <c r="P13" s="9">
        <v>214</v>
      </c>
      <c r="Q13" s="9">
        <v>1615</v>
      </c>
      <c r="R13" s="9">
        <v>5</v>
      </c>
      <c r="S13" s="9">
        <v>37</v>
      </c>
      <c r="T13" s="9">
        <v>312</v>
      </c>
      <c r="U13" s="9">
        <v>2</v>
      </c>
      <c r="V13" s="9">
        <v>46592</v>
      </c>
      <c r="W13" s="9">
        <v>88</v>
      </c>
      <c r="X13" s="9">
        <v>477</v>
      </c>
      <c r="Y13" s="9">
        <v>10</v>
      </c>
      <c r="Z13" s="9">
        <v>43</v>
      </c>
      <c r="AA13" s="9">
        <v>20</v>
      </c>
      <c r="AB13" s="9">
        <v>184594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A08C-C4A5-4F97-8AB6-BD8A05B8A548}">
  <dimension ref="A1:AB27"/>
  <sheetViews>
    <sheetView view="pageBreakPreview" topLeftCell="D1" zoomScale="70" zoomScaleNormal="100" zoomScaleSheetLayoutView="70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15" t="s">
        <v>7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16715</v>
      </c>
      <c r="W4" s="16">
        <v>0</v>
      </c>
      <c r="X4" s="16">
        <v>9</v>
      </c>
      <c r="Y4" s="16">
        <v>0</v>
      </c>
      <c r="Z4" s="16">
        <v>0</v>
      </c>
      <c r="AA4" s="16">
        <v>0</v>
      </c>
      <c r="AB4" s="17">
        <v>16724</v>
      </c>
    </row>
    <row r="5" spans="1:28">
      <c r="A5" s="15" t="s">
        <v>8</v>
      </c>
      <c r="B5" s="16">
        <v>1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177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29918</v>
      </c>
      <c r="W5" s="16">
        <v>88</v>
      </c>
      <c r="X5" s="16">
        <v>467</v>
      </c>
      <c r="Y5" s="16">
        <v>10</v>
      </c>
      <c r="Z5" s="16">
        <v>43</v>
      </c>
      <c r="AA5" s="16">
        <v>0</v>
      </c>
      <c r="AB5" s="17">
        <v>30704</v>
      </c>
    </row>
    <row r="6" spans="1:28">
      <c r="A6" s="15" t="s">
        <v>9</v>
      </c>
      <c r="B6" s="16">
        <v>4</v>
      </c>
      <c r="C6" s="16">
        <v>2</v>
      </c>
      <c r="D6" s="16">
        <v>3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1772</v>
      </c>
      <c r="K6" s="16">
        <v>0</v>
      </c>
      <c r="L6" s="16">
        <v>0</v>
      </c>
      <c r="M6" s="16">
        <v>0</v>
      </c>
      <c r="N6" s="16">
        <v>69603</v>
      </c>
      <c r="O6" s="16">
        <v>0</v>
      </c>
      <c r="P6" s="16">
        <v>213</v>
      </c>
      <c r="Q6" s="16">
        <v>1609</v>
      </c>
      <c r="R6" s="16">
        <v>5</v>
      </c>
      <c r="S6" s="16">
        <v>37</v>
      </c>
      <c r="T6" s="16">
        <v>310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7">
        <v>73558</v>
      </c>
    </row>
    <row r="7" spans="1:28">
      <c r="A7" s="15" t="s">
        <v>10</v>
      </c>
      <c r="B7" s="16">
        <v>1</v>
      </c>
      <c r="C7" s="16">
        <v>1</v>
      </c>
      <c r="D7" s="16">
        <v>11</v>
      </c>
      <c r="E7" s="16">
        <v>8</v>
      </c>
      <c r="F7" s="16">
        <v>0</v>
      </c>
      <c r="G7" s="16">
        <v>3102</v>
      </c>
      <c r="H7" s="16">
        <v>59</v>
      </c>
      <c r="I7" s="16">
        <v>655</v>
      </c>
      <c r="J7" s="16">
        <v>5645</v>
      </c>
      <c r="K7" s="16">
        <v>0</v>
      </c>
      <c r="L7" s="16">
        <v>0</v>
      </c>
      <c r="M7" s="16">
        <v>23</v>
      </c>
      <c r="N7" s="16">
        <v>0</v>
      </c>
      <c r="O7" s="16">
        <v>340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21</v>
      </c>
      <c r="AB7" s="17">
        <v>9866</v>
      </c>
    </row>
    <row r="8" spans="1:28">
      <c r="A8" s="15" t="s">
        <v>0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20557</v>
      </c>
      <c r="K8" s="16">
        <v>0</v>
      </c>
      <c r="L8" s="16">
        <v>364</v>
      </c>
      <c r="M8" s="16">
        <v>0</v>
      </c>
      <c r="N8" s="16">
        <v>0</v>
      </c>
      <c r="O8" s="16">
        <v>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7">
        <v>20924</v>
      </c>
    </row>
    <row r="9" spans="1:28">
      <c r="A9" s="15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33</v>
      </c>
      <c r="L9" s="16">
        <v>1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7">
        <v>34</v>
      </c>
    </row>
    <row r="10" spans="1:28">
      <c r="A10" s="15" t="s">
        <v>5</v>
      </c>
      <c r="B10" s="16">
        <v>16</v>
      </c>
      <c r="C10" s="16">
        <v>2</v>
      </c>
      <c r="D10" s="16">
        <v>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8050</v>
      </c>
      <c r="K10" s="16">
        <v>0</v>
      </c>
      <c r="L10" s="16">
        <v>0</v>
      </c>
      <c r="M10" s="16">
        <v>0</v>
      </c>
      <c r="N10" s="16">
        <v>0</v>
      </c>
      <c r="O10" s="16">
        <v>3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2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7">
        <v>8076</v>
      </c>
    </row>
    <row r="11" spans="1:28">
      <c r="A11" s="15" t="s">
        <v>11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24282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7">
        <v>24282</v>
      </c>
    </row>
    <row r="12" spans="1:28">
      <c r="A12" s="15" t="s">
        <v>3</v>
      </c>
      <c r="B12" s="16">
        <f>B13-SUM(B4:B11)</f>
        <v>1</v>
      </c>
      <c r="C12" s="16">
        <f t="shared" ref="C12:AA12" si="0">C13-SUM(C4:C11)</f>
        <v>241</v>
      </c>
      <c r="D12" s="16">
        <f t="shared" si="0"/>
        <v>3</v>
      </c>
      <c r="E12" s="16">
        <f t="shared" si="0"/>
        <v>0</v>
      </c>
      <c r="F12" s="16">
        <f t="shared" si="0"/>
        <v>0</v>
      </c>
      <c r="G12" s="16">
        <f t="shared" si="0"/>
        <v>0</v>
      </c>
      <c r="H12" s="16">
        <f t="shared" si="0"/>
        <v>0</v>
      </c>
      <c r="I12" s="16">
        <f t="shared" si="0"/>
        <v>0</v>
      </c>
      <c r="J12" s="16">
        <f t="shared" si="0"/>
        <v>0</v>
      </c>
      <c r="K12" s="16">
        <f t="shared" si="0"/>
        <v>0</v>
      </c>
      <c r="L12" s="16">
        <f t="shared" si="0"/>
        <v>0</v>
      </c>
      <c r="M12" s="16">
        <f t="shared" si="0"/>
        <v>0</v>
      </c>
      <c r="N12" s="16">
        <f t="shared" si="0"/>
        <v>0</v>
      </c>
      <c r="O12" s="16">
        <f t="shared" si="0"/>
        <v>0</v>
      </c>
      <c r="P12" s="16">
        <f t="shared" si="0"/>
        <v>0</v>
      </c>
      <c r="Q12" s="16">
        <f>Q13-SUM(Q4:Q11)</f>
        <v>0</v>
      </c>
      <c r="R12" s="16">
        <f t="shared" si="0"/>
        <v>0</v>
      </c>
      <c r="S12" s="16">
        <f t="shared" si="0"/>
        <v>0</v>
      </c>
      <c r="T12" s="16">
        <f t="shared" si="0"/>
        <v>0</v>
      </c>
      <c r="U12" s="16">
        <f t="shared" si="0"/>
        <v>0</v>
      </c>
      <c r="V12" s="16">
        <f t="shared" si="0"/>
        <v>0</v>
      </c>
      <c r="W12" s="16">
        <f t="shared" si="0"/>
        <v>0</v>
      </c>
      <c r="X12" s="16">
        <f t="shared" si="0"/>
        <v>0</v>
      </c>
      <c r="Y12" s="16">
        <f t="shared" si="0"/>
        <v>0</v>
      </c>
      <c r="Z12" s="16">
        <f t="shared" si="0"/>
        <v>0</v>
      </c>
      <c r="AA12" s="16">
        <f t="shared" si="0"/>
        <v>0</v>
      </c>
      <c r="AB12" s="17">
        <f>AB13-SUM(AB4:AB11)</f>
        <v>245</v>
      </c>
    </row>
    <row r="13" spans="1:28">
      <c r="A13" s="18" t="s">
        <v>1</v>
      </c>
      <c r="B13" s="9">
        <v>23</v>
      </c>
      <c r="C13" s="9">
        <v>246</v>
      </c>
      <c r="D13" s="9">
        <v>20</v>
      </c>
      <c r="E13" s="9">
        <v>8</v>
      </c>
      <c r="F13" s="9">
        <v>0</v>
      </c>
      <c r="G13" s="9">
        <v>3102</v>
      </c>
      <c r="H13" s="9">
        <v>59</v>
      </c>
      <c r="I13" s="9">
        <v>655</v>
      </c>
      <c r="J13" s="9">
        <v>60483</v>
      </c>
      <c r="K13" s="9">
        <v>33</v>
      </c>
      <c r="L13" s="9">
        <v>365</v>
      </c>
      <c r="M13" s="9">
        <v>23</v>
      </c>
      <c r="N13" s="9">
        <v>69603</v>
      </c>
      <c r="O13" s="9">
        <v>346</v>
      </c>
      <c r="P13" s="9">
        <v>213</v>
      </c>
      <c r="Q13" s="9">
        <v>1609</v>
      </c>
      <c r="R13" s="9">
        <v>5</v>
      </c>
      <c r="S13" s="9">
        <v>37</v>
      </c>
      <c r="T13" s="9">
        <v>310</v>
      </c>
      <c r="U13" s="9">
        <v>2</v>
      </c>
      <c r="V13" s="9">
        <v>46633</v>
      </c>
      <c r="W13" s="9">
        <v>88</v>
      </c>
      <c r="X13" s="9">
        <v>476</v>
      </c>
      <c r="Y13" s="9">
        <v>10</v>
      </c>
      <c r="Z13" s="9">
        <v>43</v>
      </c>
      <c r="AA13" s="9">
        <v>21</v>
      </c>
      <c r="AB13" s="9">
        <v>184413</v>
      </c>
    </row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BD07-D453-4841-BF1D-21B161E95D07}">
  <dimension ref="A1:AB27"/>
  <sheetViews>
    <sheetView view="pageBreakPreview" topLeftCell="C1" zoomScale="70" zoomScaleNormal="100" zoomScaleSheetLayoutView="70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16840</v>
      </c>
      <c r="W4" s="6">
        <v>0</v>
      </c>
      <c r="X4" s="6">
        <v>9</v>
      </c>
      <c r="Y4" s="6">
        <v>0</v>
      </c>
      <c r="Z4" s="6">
        <v>0</v>
      </c>
      <c r="AA4" s="6">
        <v>0</v>
      </c>
      <c r="AB4" s="7">
        <v>16849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175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30038</v>
      </c>
      <c r="W5" s="6">
        <v>88</v>
      </c>
      <c r="X5" s="6">
        <v>462</v>
      </c>
      <c r="Y5" s="6">
        <v>9</v>
      </c>
      <c r="Z5" s="6">
        <v>42</v>
      </c>
      <c r="AA5" s="6">
        <v>0</v>
      </c>
      <c r="AB5" s="7">
        <v>30815</v>
      </c>
    </row>
    <row r="6" spans="1:28">
      <c r="A6" s="5" t="s">
        <v>9</v>
      </c>
      <c r="B6" s="6">
        <v>4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1768</v>
      </c>
      <c r="K6" s="6">
        <v>0</v>
      </c>
      <c r="L6" s="6">
        <v>0</v>
      </c>
      <c r="M6" s="6">
        <v>0</v>
      </c>
      <c r="N6" s="6">
        <v>69609</v>
      </c>
      <c r="O6" s="6">
        <v>0</v>
      </c>
      <c r="P6" s="6">
        <v>212</v>
      </c>
      <c r="Q6" s="6">
        <v>1611</v>
      </c>
      <c r="R6" s="6">
        <v>5</v>
      </c>
      <c r="S6" s="6">
        <v>37</v>
      </c>
      <c r="T6" s="6">
        <v>308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73559</v>
      </c>
    </row>
    <row r="7" spans="1:28">
      <c r="A7" s="5" t="s">
        <v>10</v>
      </c>
      <c r="B7" s="6">
        <v>1</v>
      </c>
      <c r="C7" s="6">
        <v>1</v>
      </c>
      <c r="D7" s="6">
        <v>11</v>
      </c>
      <c r="E7" s="6">
        <v>8</v>
      </c>
      <c r="F7" s="6">
        <v>0</v>
      </c>
      <c r="G7" s="6">
        <v>3084</v>
      </c>
      <c r="H7" s="6">
        <v>59</v>
      </c>
      <c r="I7" s="6">
        <v>646</v>
      </c>
      <c r="J7" s="6">
        <v>5645</v>
      </c>
      <c r="K7" s="6">
        <v>0</v>
      </c>
      <c r="L7" s="6">
        <v>0</v>
      </c>
      <c r="M7" s="6">
        <v>22</v>
      </c>
      <c r="N7" s="6">
        <v>0</v>
      </c>
      <c r="O7" s="6">
        <v>341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20</v>
      </c>
      <c r="AB7" s="7">
        <v>9838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20525</v>
      </c>
      <c r="K8" s="6">
        <v>0</v>
      </c>
      <c r="L8" s="6">
        <v>368</v>
      </c>
      <c r="M8" s="6">
        <v>0</v>
      </c>
      <c r="N8" s="6">
        <v>0</v>
      </c>
      <c r="O8" s="6">
        <v>2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20895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33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34</v>
      </c>
    </row>
    <row r="10" spans="1:28">
      <c r="A10" s="5" t="s">
        <v>5</v>
      </c>
      <c r="B10" s="6">
        <v>17</v>
      </c>
      <c r="C10" s="6">
        <v>2</v>
      </c>
      <c r="D10" s="6">
        <v>2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8069</v>
      </c>
      <c r="K10" s="6">
        <v>0</v>
      </c>
      <c r="L10" s="6">
        <v>0</v>
      </c>
      <c r="M10" s="6">
        <v>0</v>
      </c>
      <c r="N10" s="6">
        <v>0</v>
      </c>
      <c r="O10" s="6">
        <v>3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8095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24234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24234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239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243</v>
      </c>
    </row>
    <row r="13" spans="1:28">
      <c r="A13" s="8" t="s">
        <v>1</v>
      </c>
      <c r="B13" s="9">
        <v>24</v>
      </c>
      <c r="C13" s="9">
        <v>244</v>
      </c>
      <c r="D13" s="9">
        <v>19</v>
      </c>
      <c r="E13" s="9">
        <v>8</v>
      </c>
      <c r="F13" s="9">
        <v>0</v>
      </c>
      <c r="G13" s="9">
        <v>3084</v>
      </c>
      <c r="H13" s="9">
        <v>59</v>
      </c>
      <c r="I13" s="9">
        <v>646</v>
      </c>
      <c r="J13" s="9">
        <v>60416</v>
      </c>
      <c r="K13" s="9">
        <v>33</v>
      </c>
      <c r="L13" s="9">
        <v>369</v>
      </c>
      <c r="M13" s="9">
        <v>22</v>
      </c>
      <c r="N13" s="9">
        <v>69609</v>
      </c>
      <c r="O13" s="9">
        <v>346</v>
      </c>
      <c r="P13" s="9">
        <v>212</v>
      </c>
      <c r="Q13" s="9">
        <v>1611</v>
      </c>
      <c r="R13" s="9">
        <v>5</v>
      </c>
      <c r="S13" s="9">
        <v>37</v>
      </c>
      <c r="T13" s="9">
        <v>308</v>
      </c>
      <c r="U13" s="9">
        <v>2</v>
      </c>
      <c r="V13" s="9">
        <v>46878</v>
      </c>
      <c r="W13" s="9">
        <v>88</v>
      </c>
      <c r="X13" s="9">
        <v>471</v>
      </c>
      <c r="Y13" s="9">
        <v>9</v>
      </c>
      <c r="Z13" s="9">
        <v>42</v>
      </c>
      <c r="AA13" s="9">
        <v>20</v>
      </c>
      <c r="AB13" s="9">
        <v>184562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2F4F-0743-4E95-B002-65FD1ADD148A}">
  <dimension ref="A1:AB27"/>
  <sheetViews>
    <sheetView view="pageBreakPreview" zoomScale="70" zoomScaleNormal="100" zoomScaleSheetLayoutView="70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17037</v>
      </c>
      <c r="W4" s="6">
        <v>0</v>
      </c>
      <c r="X4" s="6">
        <v>10</v>
      </c>
      <c r="Y4" s="6">
        <v>0</v>
      </c>
      <c r="Z4" s="6">
        <v>0</v>
      </c>
      <c r="AA4" s="6">
        <v>0</v>
      </c>
      <c r="AB4" s="7">
        <v>17047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171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30124</v>
      </c>
      <c r="W5" s="6">
        <v>89</v>
      </c>
      <c r="X5" s="6">
        <v>469</v>
      </c>
      <c r="Y5" s="6">
        <v>10</v>
      </c>
      <c r="Z5" s="6">
        <v>44</v>
      </c>
      <c r="AA5" s="6">
        <v>0</v>
      </c>
      <c r="AB5" s="7">
        <v>30908</v>
      </c>
    </row>
    <row r="6" spans="1:28">
      <c r="A6" s="5" t="s">
        <v>9</v>
      </c>
      <c r="B6" s="6">
        <v>4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1769</v>
      </c>
      <c r="K6" s="6">
        <v>0</v>
      </c>
      <c r="L6" s="6">
        <v>0</v>
      </c>
      <c r="M6" s="6">
        <v>0</v>
      </c>
      <c r="N6" s="6">
        <v>69854</v>
      </c>
      <c r="O6" s="6">
        <v>0</v>
      </c>
      <c r="P6" s="6">
        <v>210</v>
      </c>
      <c r="Q6" s="6">
        <v>1593</v>
      </c>
      <c r="R6" s="6">
        <v>5</v>
      </c>
      <c r="S6" s="6">
        <v>36</v>
      </c>
      <c r="T6" s="6">
        <v>311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73787</v>
      </c>
    </row>
    <row r="7" spans="1:28">
      <c r="A7" s="5" t="s">
        <v>10</v>
      </c>
      <c r="B7" s="6">
        <v>0</v>
      </c>
      <c r="C7" s="6">
        <v>1</v>
      </c>
      <c r="D7" s="6">
        <v>11</v>
      </c>
      <c r="E7" s="6">
        <v>7</v>
      </c>
      <c r="F7" s="6">
        <v>0</v>
      </c>
      <c r="G7" s="6">
        <v>3048</v>
      </c>
      <c r="H7" s="6">
        <v>56</v>
      </c>
      <c r="I7" s="6">
        <v>640</v>
      </c>
      <c r="J7" s="6">
        <v>5649</v>
      </c>
      <c r="K7" s="6">
        <v>0</v>
      </c>
      <c r="L7" s="6">
        <v>0</v>
      </c>
      <c r="M7" s="6">
        <v>22</v>
      </c>
      <c r="N7" s="6">
        <v>0</v>
      </c>
      <c r="O7" s="6">
        <v>335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20</v>
      </c>
      <c r="AB7" s="7">
        <v>9789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20459</v>
      </c>
      <c r="K8" s="6">
        <v>0</v>
      </c>
      <c r="L8" s="6">
        <v>362</v>
      </c>
      <c r="M8" s="6">
        <v>0</v>
      </c>
      <c r="N8" s="6">
        <v>0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20824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33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34</v>
      </c>
    </row>
    <row r="10" spans="1:28">
      <c r="A10" s="5" t="s">
        <v>5</v>
      </c>
      <c r="B10" s="6">
        <v>20</v>
      </c>
      <c r="C10" s="6">
        <v>2</v>
      </c>
      <c r="D10" s="6">
        <v>2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8078</v>
      </c>
      <c r="K10" s="6">
        <v>0</v>
      </c>
      <c r="L10" s="6">
        <v>0</v>
      </c>
      <c r="M10" s="6">
        <v>0</v>
      </c>
      <c r="N10" s="6">
        <v>0</v>
      </c>
      <c r="O10" s="6">
        <v>3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8107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24268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24268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232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236</v>
      </c>
    </row>
    <row r="13" spans="1:28">
      <c r="A13" s="8" t="s">
        <v>1</v>
      </c>
      <c r="B13" s="9">
        <v>26</v>
      </c>
      <c r="C13" s="9">
        <v>237</v>
      </c>
      <c r="D13" s="9">
        <v>19</v>
      </c>
      <c r="E13" s="9">
        <v>7</v>
      </c>
      <c r="F13" s="9">
        <v>0</v>
      </c>
      <c r="G13" s="9">
        <v>3048</v>
      </c>
      <c r="H13" s="9">
        <v>56</v>
      </c>
      <c r="I13" s="9">
        <v>640</v>
      </c>
      <c r="J13" s="9">
        <v>60394</v>
      </c>
      <c r="K13" s="9">
        <v>33</v>
      </c>
      <c r="L13" s="9">
        <v>363</v>
      </c>
      <c r="M13" s="9">
        <v>22</v>
      </c>
      <c r="N13" s="9">
        <v>69854</v>
      </c>
      <c r="O13" s="9">
        <v>341</v>
      </c>
      <c r="P13" s="9">
        <v>210</v>
      </c>
      <c r="Q13" s="9">
        <v>1593</v>
      </c>
      <c r="R13" s="9">
        <v>5</v>
      </c>
      <c r="S13" s="9">
        <v>36</v>
      </c>
      <c r="T13" s="9">
        <v>311</v>
      </c>
      <c r="U13" s="9">
        <v>2</v>
      </c>
      <c r="V13" s="9">
        <v>47161</v>
      </c>
      <c r="W13" s="9">
        <v>89</v>
      </c>
      <c r="X13" s="9">
        <v>479</v>
      </c>
      <c r="Y13" s="9">
        <v>10</v>
      </c>
      <c r="Z13" s="9">
        <v>44</v>
      </c>
      <c r="AA13" s="9">
        <v>20</v>
      </c>
      <c r="AB13" s="9">
        <v>185000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E242-357B-41EE-B54A-568233B2B781}">
  <dimension ref="A1:AB27"/>
  <sheetViews>
    <sheetView tabSelected="1" view="pageBreakPreview" topLeftCell="C1" zoomScale="70" zoomScaleNormal="100" zoomScaleSheetLayoutView="70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5.7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4" customFormat="1" ht="33" customHeight="1">
      <c r="A3" s="13" t="s">
        <v>2</v>
      </c>
      <c r="B3" s="13">
        <v>7</v>
      </c>
      <c r="C3" s="13">
        <v>22</v>
      </c>
      <c r="D3" s="13">
        <v>44</v>
      </c>
      <c r="E3" s="13">
        <v>55</v>
      </c>
      <c r="F3" s="13">
        <v>62</v>
      </c>
      <c r="G3" s="13">
        <v>70</v>
      </c>
      <c r="H3" s="13">
        <v>77</v>
      </c>
      <c r="I3" s="13">
        <v>92</v>
      </c>
      <c r="J3" s="13">
        <v>100</v>
      </c>
      <c r="K3" s="13">
        <v>107</v>
      </c>
      <c r="L3" s="13">
        <v>122</v>
      </c>
      <c r="M3" s="13">
        <v>189</v>
      </c>
      <c r="N3" s="13">
        <v>195</v>
      </c>
      <c r="O3" s="13">
        <v>144</v>
      </c>
      <c r="P3" s="13">
        <v>202</v>
      </c>
      <c r="Q3" s="13">
        <v>217</v>
      </c>
      <c r="R3" s="13">
        <v>239</v>
      </c>
      <c r="S3" s="13">
        <v>243</v>
      </c>
      <c r="T3" s="13">
        <v>298</v>
      </c>
      <c r="U3" s="13">
        <v>244</v>
      </c>
      <c r="V3" s="13">
        <v>390</v>
      </c>
      <c r="W3" s="13">
        <v>397</v>
      </c>
      <c r="X3" s="13">
        <v>412</v>
      </c>
      <c r="Y3" s="13">
        <v>434</v>
      </c>
      <c r="Z3" s="13">
        <v>463</v>
      </c>
      <c r="AA3" s="13" t="s">
        <v>3</v>
      </c>
      <c r="AB3" s="13" t="s">
        <v>1</v>
      </c>
    </row>
    <row r="4" spans="1:28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17196</v>
      </c>
      <c r="W4" s="6">
        <v>0</v>
      </c>
      <c r="X4" s="6">
        <v>10</v>
      </c>
      <c r="Y4" s="6">
        <v>0</v>
      </c>
      <c r="Z4" s="6">
        <v>0</v>
      </c>
      <c r="AA4" s="6">
        <v>0</v>
      </c>
      <c r="AB4" s="7">
        <v>17206</v>
      </c>
    </row>
    <row r="5" spans="1:28">
      <c r="A5" s="5" t="s">
        <v>8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174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30132</v>
      </c>
      <c r="W5" s="6">
        <v>88</v>
      </c>
      <c r="X5" s="6">
        <v>468</v>
      </c>
      <c r="Y5" s="6">
        <v>10</v>
      </c>
      <c r="Z5" s="6">
        <v>42</v>
      </c>
      <c r="AA5" s="6">
        <v>0</v>
      </c>
      <c r="AB5" s="7">
        <v>30915</v>
      </c>
    </row>
    <row r="6" spans="1:28">
      <c r="A6" s="5" t="s">
        <v>9</v>
      </c>
      <c r="B6" s="6">
        <v>4</v>
      </c>
      <c r="C6" s="6">
        <v>2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1764</v>
      </c>
      <c r="K6" s="6">
        <v>0</v>
      </c>
      <c r="L6" s="6">
        <v>0</v>
      </c>
      <c r="M6" s="6">
        <v>0</v>
      </c>
      <c r="N6" s="6">
        <v>69969</v>
      </c>
      <c r="O6" s="6">
        <v>0</v>
      </c>
      <c r="P6" s="6">
        <v>214</v>
      </c>
      <c r="Q6" s="6">
        <v>1600</v>
      </c>
      <c r="R6" s="6">
        <v>5</v>
      </c>
      <c r="S6" s="6">
        <v>37</v>
      </c>
      <c r="T6" s="6">
        <v>311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7">
        <v>73909</v>
      </c>
    </row>
    <row r="7" spans="1:28">
      <c r="A7" s="5" t="s">
        <v>10</v>
      </c>
      <c r="B7" s="6">
        <v>0</v>
      </c>
      <c r="C7" s="6">
        <v>1</v>
      </c>
      <c r="D7" s="6">
        <v>11</v>
      </c>
      <c r="E7" s="6">
        <v>7</v>
      </c>
      <c r="F7" s="6">
        <v>0</v>
      </c>
      <c r="G7" s="6">
        <v>3024</v>
      </c>
      <c r="H7" s="6">
        <v>57</v>
      </c>
      <c r="I7" s="6">
        <v>635</v>
      </c>
      <c r="J7" s="6">
        <v>5665</v>
      </c>
      <c r="K7" s="6">
        <v>0</v>
      </c>
      <c r="L7" s="6">
        <v>0</v>
      </c>
      <c r="M7" s="6">
        <v>22</v>
      </c>
      <c r="N7" s="6">
        <v>0</v>
      </c>
      <c r="O7" s="6">
        <v>331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20</v>
      </c>
      <c r="AB7" s="7">
        <v>9773</v>
      </c>
    </row>
    <row r="8" spans="1:28">
      <c r="A8" s="5" t="s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20520</v>
      </c>
      <c r="K8" s="6">
        <v>0</v>
      </c>
      <c r="L8" s="6">
        <v>356</v>
      </c>
      <c r="M8" s="6">
        <v>0</v>
      </c>
      <c r="N8" s="6">
        <v>0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7">
        <v>20879</v>
      </c>
    </row>
    <row r="9" spans="1:28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33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7">
        <v>34</v>
      </c>
    </row>
    <row r="10" spans="1:28">
      <c r="A10" s="5" t="s">
        <v>5</v>
      </c>
      <c r="B10" s="6">
        <v>20</v>
      </c>
      <c r="C10" s="6">
        <v>2</v>
      </c>
      <c r="D10" s="6">
        <v>2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8098</v>
      </c>
      <c r="K10" s="6">
        <v>0</v>
      </c>
      <c r="L10" s="6">
        <v>0</v>
      </c>
      <c r="M10" s="6">
        <v>0</v>
      </c>
      <c r="N10" s="6">
        <v>0</v>
      </c>
      <c r="O10" s="6">
        <v>3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7">
        <v>8127</v>
      </c>
    </row>
    <row r="11" spans="1:28">
      <c r="A11" s="5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24298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7">
        <v>24298</v>
      </c>
    </row>
    <row r="12" spans="1:28">
      <c r="A12" s="5" t="s">
        <v>3</v>
      </c>
      <c r="B12" s="6">
        <f>B13-SUM(B4:B11)</f>
        <v>1</v>
      </c>
      <c r="C12" s="6">
        <f t="shared" ref="C12:AA12" si="0">C13-SUM(C4:C11)</f>
        <v>227</v>
      </c>
      <c r="D12" s="6">
        <f t="shared" si="0"/>
        <v>3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>Q13-SUM(Q4:Q11)</f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  <c r="Z12" s="6">
        <f t="shared" si="0"/>
        <v>0</v>
      </c>
      <c r="AA12" s="6">
        <f t="shared" si="0"/>
        <v>0</v>
      </c>
      <c r="AB12" s="7">
        <f>AB13-SUM(AB4:AB11)</f>
        <v>231</v>
      </c>
    </row>
    <row r="13" spans="1:28">
      <c r="A13" s="8" t="s">
        <v>1</v>
      </c>
      <c r="B13" s="9">
        <v>26</v>
      </c>
      <c r="C13" s="9">
        <v>232</v>
      </c>
      <c r="D13" s="9">
        <v>19</v>
      </c>
      <c r="E13" s="9">
        <v>7</v>
      </c>
      <c r="F13" s="9">
        <v>0</v>
      </c>
      <c r="G13" s="9">
        <v>3024</v>
      </c>
      <c r="H13" s="9">
        <v>57</v>
      </c>
      <c r="I13" s="9">
        <v>635</v>
      </c>
      <c r="J13" s="9">
        <v>60519</v>
      </c>
      <c r="K13" s="9">
        <v>33</v>
      </c>
      <c r="L13" s="9">
        <v>357</v>
      </c>
      <c r="M13" s="9">
        <v>22</v>
      </c>
      <c r="N13" s="9">
        <v>69969</v>
      </c>
      <c r="O13" s="9">
        <v>337</v>
      </c>
      <c r="P13" s="9">
        <v>214</v>
      </c>
      <c r="Q13" s="9">
        <v>1600</v>
      </c>
      <c r="R13" s="9">
        <v>5</v>
      </c>
      <c r="S13" s="9">
        <v>37</v>
      </c>
      <c r="T13" s="9">
        <v>311</v>
      </c>
      <c r="U13" s="9">
        <v>2</v>
      </c>
      <c r="V13" s="9">
        <v>47328</v>
      </c>
      <c r="W13" s="9">
        <v>88</v>
      </c>
      <c r="X13" s="9">
        <v>478</v>
      </c>
      <c r="Y13" s="9">
        <v>10</v>
      </c>
      <c r="Z13" s="9">
        <v>42</v>
      </c>
      <c r="AA13" s="9">
        <v>20</v>
      </c>
      <c r="AB13" s="9">
        <v>185372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Tamaz Sukhashvili</cp:lastModifiedBy>
  <dcterms:created xsi:type="dcterms:W3CDTF">2011-11-14T12:28:14Z</dcterms:created>
  <dcterms:modified xsi:type="dcterms:W3CDTF">2024-12-27T06:18:01Z</dcterms:modified>
</cp:coreProperties>
</file>